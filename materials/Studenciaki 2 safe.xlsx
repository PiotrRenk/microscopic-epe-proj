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ci\Downloads\"/>
    </mc:Choice>
  </mc:AlternateContent>
  <xr:revisionPtr revIDLastSave="0" documentId="13_ncr:1_{952F0C0C-82BB-4A4D-A621-B2649BDF4D5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Arkusz 1" sheetId="1" r:id="rId1"/>
    <sheet name="dodatnie marginesy" sheetId="2" r:id="rId2"/>
  </sheets>
  <definedNames>
    <definedName name="_xlnm._FilterDatabase" localSheetId="0" hidden="1">'Arkusz 1'!$BG$1:$BG$102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2" i="1"/>
  <c r="F43" i="1"/>
  <c r="F46" i="1"/>
  <c r="F47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24" i="1"/>
  <c r="F23" i="1"/>
  <c r="F22" i="1"/>
  <c r="F21" i="1"/>
  <c r="F18" i="1"/>
  <c r="F19" i="1"/>
  <c r="F20" i="1"/>
  <c r="F17" i="1"/>
  <c r="F16" i="1"/>
  <c r="F15" i="1"/>
</calcChain>
</file>

<file path=xl/sharedStrings.xml><?xml version="1.0" encoding="utf-8"?>
<sst xmlns="http://schemas.openxmlformats.org/spreadsheetml/2006/main" count="1439" uniqueCount="176">
  <si>
    <t>Wiek</t>
  </si>
  <si>
    <t xml:space="preserve">Telefon </t>
  </si>
  <si>
    <t>Data</t>
  </si>
  <si>
    <t>PSA (ng/ml) </t>
  </si>
  <si>
    <t>PSA DT (msc)</t>
  </si>
  <si>
    <t>PSA density</t>
  </si>
  <si>
    <t>DRE 0-prawidłowe 1-patologiczne</t>
  </si>
  <si>
    <t>cTNM  tylko cT</t>
  </si>
  <si>
    <t>cN</t>
  </si>
  <si>
    <t>Bx 1-pierwszorazowa 2-drugi raz 3-trzeci i kolejny raz</t>
  </si>
  <si>
    <t>Typ Bx  0-celowana  1-cel+regionalna  2-pełna  3-tylko systematyczna 4 - celowana + regio + systematyczna kontralateralna do IL</t>
  </si>
  <si>
    <t>zmiana nr 1
mpMRI PIRADS zmiana (dominująca IL)</t>
  </si>
  <si>
    <t>Lokalizacja zmiany nr 1 apex/mid/base</t>
  </si>
  <si>
    <t>Lokalizacja zmiany nr 1 PL/PP</t>
  </si>
  <si>
    <t>Lokalizacja zmiany nr1 [PIRADS map]</t>
  </si>
  <si>
    <t xml:space="preserve">Objętość zmiany (ml) nr 1 </t>
  </si>
  <si>
    <t>Maks wymiar IL w mpMRI</t>
  </si>
  <si>
    <t xml:space="preserve">Zmiana nr 1
Gleason </t>
  </si>
  <si>
    <t xml:space="preserve">Zmiana nr 1
ISUP </t>
  </si>
  <si>
    <t>% badanego materiału nr 1</t>
  </si>
  <si>
    <t xml:space="preserve">Gleason Strefy obwodowej IL </t>
  </si>
  <si>
    <t>ISUP  strefy obwodowej IL</t>
  </si>
  <si>
    <t>% badanego materiału strefy obwodowej IL</t>
  </si>
  <si>
    <t>zmiana nr 2
mpMRI PIRADS</t>
  </si>
  <si>
    <t>Lokalizacja zmiany nr 2 apex/mid/base</t>
  </si>
  <si>
    <t>Lokalizacja zmiany nr 2 PL/PP</t>
  </si>
  <si>
    <t>Lokalizacja zmiany nr2 [PIRADS map]</t>
  </si>
  <si>
    <t xml:space="preserve">Objętość zmiany (ml) nr 2 </t>
  </si>
  <si>
    <t xml:space="preserve">Zmiana nr 2
Gleason </t>
  </si>
  <si>
    <t xml:space="preserve">Zmiana nr 2
ISUP </t>
  </si>
  <si>
    <t>% badanego materiału nr 2</t>
  </si>
  <si>
    <t>zmiana nr 3
mpMRI PIRADS</t>
  </si>
  <si>
    <t>Lokalizacja zmiany nr 3 apex/mid/base</t>
  </si>
  <si>
    <t>Lokalizacja zmiany nr 3 PL/PP</t>
  </si>
  <si>
    <t>Lokalizacja zmiany nr 3 [PIRADS map]</t>
  </si>
  <si>
    <t>Objętość zmiany (ml) nr 3</t>
  </si>
  <si>
    <t xml:space="preserve">Zmiana nr 3
Gleason </t>
  </si>
  <si>
    <t xml:space="preserve">Zmiana nr 3
ISUP </t>
  </si>
  <si>
    <t>% badanego materiału nr 3</t>
  </si>
  <si>
    <t xml:space="preserve">REGION IL
Gleason </t>
  </si>
  <si>
    <t xml:space="preserve">REGION IL
ISUP </t>
  </si>
  <si>
    <t>% badanego REGION IL</t>
  </si>
  <si>
    <t>iTNM</t>
  </si>
  <si>
    <t>Obj. Stercza  [ml]</t>
  </si>
  <si>
    <t>EPE w MRI 0-TAK 1-NIE</t>
  </si>
  <si>
    <t>EPE który płat P/L/PL</t>
  </si>
  <si>
    <t>Objętość wszystkich zmian [ml]</t>
  </si>
  <si>
    <t>Bx  CEL+ IL</t>
  </si>
  <si>
    <t>Bx  REG+</t>
  </si>
  <si>
    <t>Bx CEL+ inne zmiany</t>
  </si>
  <si>
    <t>Bx SYS+</t>
  </si>
  <si>
    <t>Prostatektomia w USK 1-Tak 0-Nie</t>
  </si>
  <si>
    <t xml:space="preserve">Typ leczenia </t>
  </si>
  <si>
    <t>Gleason post.op</t>
  </si>
  <si>
    <t>ISUP post. Op</t>
  </si>
  <si>
    <t>pT</t>
  </si>
  <si>
    <t>pN</t>
  </si>
  <si>
    <t>pM</t>
  </si>
  <si>
    <t>pR 0/1</t>
  </si>
  <si>
    <t>EPE 0/1</t>
  </si>
  <si>
    <t>EPE strona P</t>
  </si>
  <si>
    <t>EPE strona L</t>
  </si>
  <si>
    <t>EPE strony P+L</t>
  </si>
  <si>
    <t>SVI 0/1</t>
  </si>
  <si>
    <t>SVI  strona P</t>
  </si>
  <si>
    <t>SVI strona L</t>
  </si>
  <si>
    <t>SVI strony P+L</t>
  </si>
  <si>
    <t xml:space="preserve">PSA po 6 tyg </t>
  </si>
  <si>
    <t>Operator</t>
  </si>
  <si>
    <t>Patolog</t>
  </si>
  <si>
    <t>T2a</t>
  </si>
  <si>
    <t xml:space="preserve">apex </t>
  </si>
  <si>
    <t>PP</t>
  </si>
  <si>
    <t>3+3</t>
  </si>
  <si>
    <t>MS</t>
  </si>
  <si>
    <t>PK</t>
  </si>
  <si>
    <t>-</t>
  </si>
  <si>
    <t>PL</t>
  </si>
  <si>
    <t>PZ</t>
  </si>
  <si>
    <t>AD</t>
  </si>
  <si>
    <t>T1</t>
  </si>
  <si>
    <t>apex</t>
  </si>
  <si>
    <t>PZa</t>
  </si>
  <si>
    <t>3+4</t>
  </si>
  <si>
    <t>RARP</t>
  </si>
  <si>
    <t>KB</t>
  </si>
  <si>
    <t>T2c</t>
  </si>
  <si>
    <t>TZa</t>
  </si>
  <si>
    <t>4+3</t>
  </si>
  <si>
    <t>T2b</t>
  </si>
  <si>
    <t>Mid</t>
  </si>
  <si>
    <t>PZpl</t>
  </si>
  <si>
    <t>16mm</t>
  </si>
  <si>
    <t>3a</t>
  </si>
  <si>
    <t>+</t>
  </si>
  <si>
    <t>WC</t>
  </si>
  <si>
    <t>KB-R</t>
  </si>
  <si>
    <t>mid</t>
  </si>
  <si>
    <t>14mm</t>
  </si>
  <si>
    <t>2a</t>
  </si>
  <si>
    <t>x</t>
  </si>
  <si>
    <t>PM/KI</t>
  </si>
  <si>
    <t>22mm</t>
  </si>
  <si>
    <t>PZmed?</t>
  </si>
  <si>
    <t>TZmed</t>
  </si>
  <si>
    <t>base</t>
  </si>
  <si>
    <t>KI</t>
  </si>
  <si>
    <t>twarda nieprzesuwalna</t>
  </si>
  <si>
    <t>twarda spoista</t>
  </si>
  <si>
    <t>6mm</t>
  </si>
  <si>
    <t>15mm</t>
  </si>
  <si>
    <t>PZpm</t>
  </si>
  <si>
    <t>TZ</t>
  </si>
  <si>
    <t>konsystencja twarda</t>
  </si>
  <si>
    <t>10mm</t>
  </si>
  <si>
    <t>AC/PK</t>
  </si>
  <si>
    <t>TZa/TZp</t>
  </si>
  <si>
    <t>29mm</t>
  </si>
  <si>
    <t>JM/AC</t>
  </si>
  <si>
    <t>12mm</t>
  </si>
  <si>
    <t>PZpm, PZm</t>
  </si>
  <si>
    <t>20mm</t>
  </si>
  <si>
    <t>2b</t>
  </si>
  <si>
    <t>MJ-J</t>
  </si>
  <si>
    <t>4+5</t>
  </si>
  <si>
    <t>TM</t>
  </si>
  <si>
    <t>T3a</t>
  </si>
  <si>
    <t>5mm</t>
  </si>
  <si>
    <t>11mm</t>
  </si>
  <si>
    <t>T2</t>
  </si>
  <si>
    <t>AC/MD</t>
  </si>
  <si>
    <t>3/4</t>
  </si>
  <si>
    <t>TZp</t>
  </si>
  <si>
    <t>base+mid+apex</t>
  </si>
  <si>
    <t>26mm</t>
  </si>
  <si>
    <t>3b</t>
  </si>
  <si>
    <t>mid+apex</t>
  </si>
  <si>
    <t>25mm</t>
  </si>
  <si>
    <t>9mm</t>
  </si>
  <si>
    <t>5-20</t>
  </si>
  <si>
    <t>5+4</t>
  </si>
  <si>
    <t>mid/base</t>
  </si>
  <si>
    <t>2c</t>
  </si>
  <si>
    <t>brak</t>
  </si>
  <si>
    <t>PZ/TZ</t>
  </si>
  <si>
    <t>AC/KI</t>
  </si>
  <si>
    <t>PZa/PZpl</t>
  </si>
  <si>
    <t>0/1</t>
  </si>
  <si>
    <t>mid/apex</t>
  </si>
  <si>
    <t>PZp</t>
  </si>
  <si>
    <t>PZpl/PZpm</t>
  </si>
  <si>
    <t>27mm</t>
  </si>
  <si>
    <t>5+3</t>
  </si>
  <si>
    <t>7mm</t>
  </si>
  <si>
    <t>4mm</t>
  </si>
  <si>
    <t>19mm</t>
  </si>
  <si>
    <t>CZ/TZ</t>
  </si>
  <si>
    <t>30mm</t>
  </si>
  <si>
    <t>8mm</t>
  </si>
  <si>
    <t>18mm</t>
  </si>
  <si>
    <t>TZ/PZ</t>
  </si>
  <si>
    <t>L</t>
  </si>
  <si>
    <t>apex/mid</t>
  </si>
  <si>
    <t>PP/PL</t>
  </si>
  <si>
    <t>AC/AB</t>
  </si>
  <si>
    <t>T3b</t>
  </si>
  <si>
    <t>32mm</t>
  </si>
  <si>
    <t>23mm</t>
  </si>
  <si>
    <t>AC/MJ-J</t>
  </si>
  <si>
    <t>Tza/AFS</t>
  </si>
  <si>
    <t>iT2cN0</t>
  </si>
  <si>
    <t>TZ/CZ</t>
  </si>
  <si>
    <t>28mm</t>
  </si>
  <si>
    <t>AC/PM</t>
  </si>
  <si>
    <t>13mm</t>
  </si>
  <si>
    <t>Typ Bx _x000B_0-celowana _x000B_1-cel+regionalna _x000B_2-pełna _x000B_3-tylko systematyczna_x000B_4 - celowana + regio + systematyczna kontralateralna do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</si>
</sst>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m\.yyyy"/>
    <numFmt numFmtId="165" formatCode="dd\.mm\.yyyy"/>
  </numFmts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0" fillId="0" borderId="2" xfId="0" applyBorder="1">
      <alignment vertical="top" wrapText="1"/>
    </xf>
    <xf numFmtId="0" fontId="0" fillId="0" borderId="3" xfId="0" applyBorder="1">
      <alignment vertical="top" wrapText="1"/>
    </xf>
    <xf numFmtId="164" fontId="0" fillId="0" borderId="3" xfId="0" applyNumberFormat="1" applyBorder="1">
      <alignment vertical="top" wrapText="1"/>
    </xf>
    <xf numFmtId="0" fontId="0" fillId="0" borderId="3" xfId="0" applyNumberFormat="1" applyBorder="1">
      <alignment vertical="top" wrapText="1"/>
    </xf>
    <xf numFmtId="49" fontId="0" fillId="0" borderId="3" xfId="0" applyNumberFormat="1" applyBorder="1">
      <alignment vertical="top" wrapText="1"/>
    </xf>
    <xf numFmtId="165" fontId="0" fillId="0" borderId="3" xfId="0" applyNumberFormat="1" applyBorder="1">
      <alignment vertical="top" wrapText="1"/>
    </xf>
    <xf numFmtId="14" fontId="0" fillId="0" borderId="3" xfId="0" applyNumberFormat="1" applyBorder="1">
      <alignment vertical="top" wrapText="1"/>
    </xf>
    <xf numFmtId="0" fontId="0" fillId="3" borderId="3" xfId="0" applyFill="1" applyBorder="1">
      <alignment vertical="top" wrapText="1"/>
    </xf>
    <xf numFmtId="0" fontId="0" fillId="0" borderId="3" xfId="0" applyFill="1" applyBorder="1">
      <alignment vertical="top" wrapText="1"/>
    </xf>
    <xf numFmtId="0" fontId="0" fillId="0" borderId="3" xfId="0" applyNumberFormat="1" applyBorder="1" applyAlignment="1">
      <alignment horizontal="right" vertical="top" wrapText="1"/>
    </xf>
    <xf numFmtId="0" fontId="0" fillId="4" borderId="3" xfId="0" applyFill="1" applyBorder="1">
      <alignment vertical="top" wrapText="1"/>
    </xf>
    <xf numFmtId="14" fontId="0" fillId="4" borderId="3" xfId="0" applyNumberFormat="1" applyFill="1" applyBorder="1">
      <alignment vertical="top" wrapText="1"/>
    </xf>
    <xf numFmtId="0" fontId="0" fillId="0" borderId="3" xfId="0" applyNumberFormat="1" applyFill="1" applyBorder="1">
      <alignment vertical="top" wrapText="1"/>
    </xf>
    <xf numFmtId="164" fontId="0" fillId="0" borderId="3" xfId="0" applyNumberFormat="1" applyFill="1" applyBorder="1">
      <alignment vertical="top" wrapText="1"/>
    </xf>
    <xf numFmtId="14" fontId="0" fillId="0" borderId="3" xfId="0" applyNumberFormat="1" applyFill="1" applyBorder="1">
      <alignment vertical="top" wrapText="1"/>
    </xf>
    <xf numFmtId="0" fontId="0" fillId="0" borderId="0" xfId="0" applyFill="1">
      <alignment vertical="top" wrapText="1"/>
    </xf>
    <xf numFmtId="0" fontId="1" fillId="0" borderId="0" xfId="0" applyFont="1" applyAlignment="1">
      <alignment vertical="center"/>
    </xf>
  </cellXfs>
  <cellStyles count="1">
    <cellStyle name="Normalny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0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sqref="A1:A1048576"/>
    </sheetView>
  </sheetViews>
  <sheetFormatPr defaultColWidth="16.42578125" defaultRowHeight="19.899999999999999" customHeight="1"/>
  <cols>
    <col min="1" max="10" width="16.42578125" style="1" customWidth="1"/>
    <col min="11" max="11" width="35.140625" style="1" customWidth="1"/>
    <col min="12" max="12" width="16.42578125" style="1" customWidth="1"/>
    <col min="13" max="15" width="10.85546875" style="1" customWidth="1"/>
    <col min="16" max="16" width="16.42578125" style="1" customWidth="1"/>
    <col min="17" max="17" width="10.85546875" style="1" customWidth="1"/>
    <col min="18" max="47" width="16.42578125" style="1" customWidth="1"/>
    <col min="48" max="48" width="5.85546875" style="1" customWidth="1"/>
    <col min="49" max="49" width="6" style="1" customWidth="1"/>
    <col min="50" max="50" width="5.85546875" style="1" customWidth="1"/>
    <col min="51" max="51" width="5.5703125" style="1" customWidth="1"/>
    <col min="52" max="55" width="16.42578125" style="1" customWidth="1"/>
    <col min="56" max="56" width="3.42578125" style="1" customWidth="1"/>
    <col min="57" max="57" width="3.5703125" style="1" customWidth="1"/>
    <col min="58" max="59" width="4" style="1" customWidth="1"/>
    <col min="60" max="60" width="5.42578125" style="1" customWidth="1"/>
    <col min="61" max="61" width="6.5703125" style="1" customWidth="1"/>
    <col min="62" max="62" width="6.85546875" style="1" customWidth="1"/>
    <col min="63" max="67" width="7" style="1" customWidth="1"/>
    <col min="68" max="71" width="16.42578125" style="1" customWidth="1"/>
    <col min="72" max="16384" width="16.42578125" style="1"/>
  </cols>
  <sheetData>
    <row r="1" spans="1:70" s="19" customFormat="1" ht="27.6" customHeight="1"/>
    <row r="2" spans="1:70" ht="92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</row>
    <row r="3" spans="1:70" ht="20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1:70" ht="20.100000000000001" customHeight="1">
      <c r="A4" s="4"/>
      <c r="B4" s="4"/>
      <c r="C4" s="5">
        <v>45583</v>
      </c>
      <c r="D4" s="6">
        <v>3.7</v>
      </c>
      <c r="E4" s="6">
        <v>6.6</v>
      </c>
      <c r="F4" s="4"/>
      <c r="G4" s="6">
        <v>1</v>
      </c>
      <c r="H4" s="7" t="s">
        <v>70</v>
      </c>
      <c r="I4" s="4"/>
      <c r="J4" s="4"/>
      <c r="K4" s="4"/>
      <c r="L4" s="6">
        <v>4</v>
      </c>
      <c r="M4" s="7" t="s">
        <v>71</v>
      </c>
      <c r="N4" s="7" t="s">
        <v>72</v>
      </c>
      <c r="O4" s="4"/>
      <c r="P4" s="6">
        <v>0.67</v>
      </c>
      <c r="Q4" s="4"/>
      <c r="R4" s="7" t="s">
        <v>73</v>
      </c>
      <c r="S4" s="6">
        <v>1</v>
      </c>
      <c r="T4" s="6">
        <v>25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7" t="s">
        <v>70</v>
      </c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7" t="s">
        <v>74</v>
      </c>
      <c r="BR4" s="7" t="s">
        <v>75</v>
      </c>
    </row>
    <row r="5" spans="1:70" ht="20.100000000000001" customHeight="1">
      <c r="A5" s="4"/>
      <c r="B5" s="4"/>
      <c r="C5" s="5">
        <v>45583</v>
      </c>
      <c r="D5" s="6">
        <v>0.96</v>
      </c>
      <c r="E5" s="4"/>
      <c r="F5" s="4"/>
      <c r="G5" s="6">
        <v>0</v>
      </c>
      <c r="H5" s="7" t="s">
        <v>76</v>
      </c>
      <c r="I5" s="4"/>
      <c r="J5" s="4"/>
      <c r="K5" s="4"/>
      <c r="L5" s="6">
        <v>4</v>
      </c>
      <c r="M5" s="4"/>
      <c r="N5" s="7" t="s">
        <v>77</v>
      </c>
      <c r="O5" s="7" t="s">
        <v>78</v>
      </c>
      <c r="P5" s="4"/>
      <c r="Q5" s="4"/>
      <c r="R5" s="7" t="s">
        <v>76</v>
      </c>
      <c r="S5" s="7" t="s">
        <v>76</v>
      </c>
      <c r="T5" s="7" t="s">
        <v>76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7" t="s">
        <v>76</v>
      </c>
      <c r="AR5" s="6">
        <v>29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7" t="s">
        <v>79</v>
      </c>
      <c r="BR5" s="7" t="s">
        <v>75</v>
      </c>
    </row>
    <row r="6" spans="1:70" ht="20.100000000000001" customHeight="1">
      <c r="A6" s="4"/>
      <c r="B6" s="4"/>
      <c r="C6" s="5">
        <v>45589</v>
      </c>
      <c r="D6" s="6">
        <v>4.25</v>
      </c>
      <c r="E6" s="6">
        <v>46.6</v>
      </c>
      <c r="F6" s="4"/>
      <c r="G6" s="6">
        <v>0</v>
      </c>
      <c r="H6" s="7" t="s">
        <v>80</v>
      </c>
      <c r="I6" s="4"/>
      <c r="J6" s="4"/>
      <c r="K6" s="4"/>
      <c r="L6" s="6">
        <v>4</v>
      </c>
      <c r="M6" s="7" t="s">
        <v>81</v>
      </c>
      <c r="N6" s="7" t="s">
        <v>72</v>
      </c>
      <c r="O6" s="7" t="s">
        <v>82</v>
      </c>
      <c r="P6" s="4"/>
      <c r="Q6" s="4"/>
      <c r="R6" s="7" t="s">
        <v>83</v>
      </c>
      <c r="S6" s="6">
        <v>2</v>
      </c>
      <c r="T6" s="6">
        <v>20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7" t="s">
        <v>70</v>
      </c>
      <c r="AR6" s="4"/>
      <c r="AS6" s="4"/>
      <c r="AT6" s="4"/>
      <c r="AU6" s="4"/>
      <c r="AV6" s="4"/>
      <c r="AW6" s="4"/>
      <c r="AX6" s="4"/>
      <c r="AY6" s="4"/>
      <c r="AZ6" s="4"/>
      <c r="BA6" s="7" t="s">
        <v>84</v>
      </c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7" t="s">
        <v>74</v>
      </c>
      <c r="BR6" s="7" t="s">
        <v>85</v>
      </c>
    </row>
    <row r="7" spans="1:70" ht="20.100000000000001" customHeight="1">
      <c r="A7" s="4"/>
      <c r="B7" s="4"/>
      <c r="C7" s="5">
        <v>45589</v>
      </c>
      <c r="D7" s="4"/>
      <c r="E7" s="4"/>
      <c r="F7" s="4"/>
      <c r="G7" s="4"/>
      <c r="H7" s="4"/>
      <c r="I7" s="4"/>
      <c r="J7" s="4"/>
      <c r="K7" s="4"/>
      <c r="L7" s="6">
        <v>4</v>
      </c>
      <c r="M7" s="4"/>
      <c r="N7" s="7" t="s">
        <v>77</v>
      </c>
      <c r="O7" s="7" t="s">
        <v>78</v>
      </c>
      <c r="P7" s="4"/>
      <c r="Q7" s="4"/>
      <c r="R7" s="7" t="s">
        <v>73</v>
      </c>
      <c r="S7" s="6">
        <v>1</v>
      </c>
      <c r="T7" s="6">
        <v>30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</row>
    <row r="8" spans="1:70" ht="20.100000000000001" customHeight="1">
      <c r="A8" s="4"/>
      <c r="B8" s="4"/>
      <c r="C8" s="5">
        <v>45589</v>
      </c>
      <c r="D8" s="6">
        <v>6.65</v>
      </c>
      <c r="E8" s="6">
        <v>42.1</v>
      </c>
      <c r="F8" s="4"/>
      <c r="G8" s="6">
        <v>1</v>
      </c>
      <c r="H8" s="7" t="s">
        <v>86</v>
      </c>
      <c r="I8" s="4"/>
      <c r="J8" s="4"/>
      <c r="K8" s="4"/>
      <c r="L8" s="6">
        <v>5</v>
      </c>
      <c r="M8" s="4"/>
      <c r="N8" s="7" t="s">
        <v>77</v>
      </c>
      <c r="O8" s="7" t="s">
        <v>87</v>
      </c>
      <c r="P8" s="6">
        <v>1.83</v>
      </c>
      <c r="Q8" s="4"/>
      <c r="R8" s="7" t="s">
        <v>73</v>
      </c>
      <c r="S8" s="6">
        <v>1</v>
      </c>
      <c r="T8" s="6">
        <v>5</v>
      </c>
      <c r="U8" s="4"/>
      <c r="V8" s="4"/>
      <c r="W8" s="4"/>
      <c r="X8" s="6">
        <v>4</v>
      </c>
      <c r="Y8" s="4"/>
      <c r="Z8" s="4"/>
      <c r="AA8" s="4"/>
      <c r="AB8" s="4"/>
      <c r="AC8" s="7" t="s">
        <v>73</v>
      </c>
      <c r="AD8" s="6">
        <v>1</v>
      </c>
      <c r="AE8" s="6">
        <v>25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7" t="s">
        <v>86</v>
      </c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7" t="s">
        <v>74</v>
      </c>
      <c r="BR8" s="7" t="s">
        <v>85</v>
      </c>
    </row>
    <row r="9" spans="1:70" ht="20.100000000000001" customHeight="1">
      <c r="A9" s="4"/>
      <c r="B9" s="4"/>
      <c r="C9" s="5">
        <v>45596</v>
      </c>
      <c r="D9" s="6">
        <v>4.4000000000000004</v>
      </c>
      <c r="E9" s="6">
        <v>-2.5</v>
      </c>
      <c r="F9" s="4"/>
      <c r="G9" s="4"/>
      <c r="H9" s="4"/>
      <c r="I9" s="4"/>
      <c r="J9" s="4"/>
      <c r="K9" s="4"/>
      <c r="L9" s="6">
        <v>4</v>
      </c>
      <c r="M9" s="7" t="s">
        <v>71</v>
      </c>
      <c r="N9" s="7" t="s">
        <v>72</v>
      </c>
      <c r="O9" s="4"/>
      <c r="P9" s="4"/>
      <c r="Q9" s="4"/>
      <c r="R9" s="7" t="s">
        <v>88</v>
      </c>
      <c r="S9" s="6">
        <v>3</v>
      </c>
      <c r="T9" s="6">
        <v>25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7" t="s">
        <v>89</v>
      </c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</row>
    <row r="10" spans="1:70" ht="20.100000000000001" customHeight="1">
      <c r="A10" s="4"/>
      <c r="B10" s="4"/>
      <c r="C10" s="8">
        <v>45723</v>
      </c>
      <c r="D10" s="6">
        <v>7.4</v>
      </c>
      <c r="E10" s="4"/>
      <c r="F10" s="4"/>
      <c r="G10" s="6">
        <v>1</v>
      </c>
      <c r="H10" s="7" t="s">
        <v>70</v>
      </c>
      <c r="I10" s="4"/>
      <c r="J10" s="4"/>
      <c r="K10" s="4"/>
      <c r="L10" s="6">
        <v>4</v>
      </c>
      <c r="M10" s="7" t="s">
        <v>90</v>
      </c>
      <c r="N10" s="7" t="s">
        <v>77</v>
      </c>
      <c r="O10" s="7" t="s">
        <v>91</v>
      </c>
      <c r="P10" s="6">
        <v>0.33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</row>
    <row r="11" spans="1:70" ht="20.100000000000001" customHeight="1">
      <c r="A11" s="11"/>
      <c r="B11" s="11"/>
      <c r="C11" s="16">
        <v>45881</v>
      </c>
      <c r="D11" s="15">
        <v>2.9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</row>
    <row r="12" spans="1:70" ht="20.100000000000001" customHeight="1">
      <c r="A12" s="4">
        <v>59</v>
      </c>
      <c r="B12" s="4"/>
      <c r="C12" s="9">
        <v>45665</v>
      </c>
      <c r="D12" s="4">
        <v>3.8</v>
      </c>
      <c r="E12" s="4"/>
      <c r="F12" s="4">
        <v>0.12670000000000001</v>
      </c>
      <c r="G12" s="4">
        <v>1</v>
      </c>
      <c r="H12" s="4" t="s">
        <v>108</v>
      </c>
      <c r="I12" s="4"/>
      <c r="J12" s="4">
        <v>1</v>
      </c>
      <c r="K12" s="4">
        <v>2</v>
      </c>
      <c r="L12" s="4">
        <v>5</v>
      </c>
      <c r="M12" s="4" t="s">
        <v>81</v>
      </c>
      <c r="N12" s="4" t="s">
        <v>72</v>
      </c>
      <c r="O12" s="4" t="s">
        <v>78</v>
      </c>
      <c r="P12" s="4"/>
      <c r="Q12" s="4" t="s">
        <v>92</v>
      </c>
      <c r="R12" s="4" t="s">
        <v>73</v>
      </c>
      <c r="S12" s="4">
        <v>1</v>
      </c>
      <c r="T12" s="4">
        <v>80</v>
      </c>
      <c r="U12" s="4"/>
      <c r="V12" s="4"/>
      <c r="W12" s="4"/>
      <c r="X12" s="4">
        <v>5</v>
      </c>
      <c r="Y12" s="4" t="s">
        <v>81</v>
      </c>
      <c r="Z12" s="4" t="s">
        <v>77</v>
      </c>
      <c r="AA12" s="4" t="s">
        <v>78</v>
      </c>
      <c r="AB12" s="4"/>
      <c r="AC12" s="4" t="s">
        <v>73</v>
      </c>
      <c r="AD12" s="4">
        <v>1</v>
      </c>
      <c r="AE12" s="4">
        <v>70</v>
      </c>
      <c r="AF12" s="4" t="s">
        <v>76</v>
      </c>
      <c r="AG12" s="4" t="s">
        <v>76</v>
      </c>
      <c r="AH12" s="4" t="s">
        <v>76</v>
      </c>
      <c r="AI12" s="4" t="s">
        <v>76</v>
      </c>
      <c r="AJ12" s="4" t="s">
        <v>76</v>
      </c>
      <c r="AK12" s="4" t="s">
        <v>76</v>
      </c>
      <c r="AL12" s="4" t="s">
        <v>76</v>
      </c>
      <c r="AM12" s="4" t="s">
        <v>76</v>
      </c>
      <c r="AN12" s="4"/>
      <c r="AO12" s="4"/>
      <c r="AP12" s="4"/>
      <c r="AQ12" s="4"/>
      <c r="AR12" s="4">
        <v>30</v>
      </c>
      <c r="AS12" s="4"/>
      <c r="AT12" s="4"/>
      <c r="AU12" s="4"/>
      <c r="AV12" s="4"/>
      <c r="AW12" s="4"/>
      <c r="AX12" s="4"/>
      <c r="AY12" s="4"/>
      <c r="AZ12" s="4">
        <v>1</v>
      </c>
      <c r="BA12" s="4" t="s">
        <v>84</v>
      </c>
      <c r="BB12" s="4" t="s">
        <v>83</v>
      </c>
      <c r="BC12" s="4">
        <v>2</v>
      </c>
      <c r="BD12" s="4" t="s">
        <v>93</v>
      </c>
      <c r="BE12" s="4">
        <v>0</v>
      </c>
      <c r="BF12" s="4" t="s">
        <v>100</v>
      </c>
      <c r="BG12" s="4">
        <v>0</v>
      </c>
      <c r="BH12" s="4">
        <v>1</v>
      </c>
      <c r="BI12" s="4" t="s">
        <v>76</v>
      </c>
      <c r="BJ12" s="4" t="s">
        <v>94</v>
      </c>
      <c r="BK12" s="4" t="s">
        <v>76</v>
      </c>
      <c r="BL12" s="4">
        <v>0</v>
      </c>
      <c r="BM12" s="4"/>
      <c r="BN12" s="4"/>
      <c r="BO12" s="4"/>
      <c r="BP12" s="4"/>
      <c r="BQ12" s="4" t="s">
        <v>95</v>
      </c>
      <c r="BR12" s="4" t="s">
        <v>96</v>
      </c>
    </row>
    <row r="13" spans="1:70" ht="20.100000000000001" customHeight="1">
      <c r="A13" s="4">
        <v>71</v>
      </c>
      <c r="B13" s="4"/>
      <c r="C13" s="9">
        <v>45670</v>
      </c>
      <c r="D13" s="4">
        <v>9.3000000000000007</v>
      </c>
      <c r="E13" s="4"/>
      <c r="F13" s="4">
        <v>0.25829999999999997</v>
      </c>
      <c r="G13" s="4"/>
      <c r="H13" s="10"/>
      <c r="I13" s="4"/>
      <c r="J13" s="4">
        <v>1</v>
      </c>
      <c r="K13" s="4">
        <v>2</v>
      </c>
      <c r="L13" s="4">
        <v>4</v>
      </c>
      <c r="M13" s="4" t="s">
        <v>97</v>
      </c>
      <c r="N13" s="4" t="s">
        <v>72</v>
      </c>
      <c r="O13" s="4" t="s">
        <v>103</v>
      </c>
      <c r="P13" s="4"/>
      <c r="Q13" s="4" t="s">
        <v>98</v>
      </c>
      <c r="R13" s="4" t="s">
        <v>73</v>
      </c>
      <c r="S13" s="4">
        <v>1</v>
      </c>
      <c r="T13" s="4">
        <v>15</v>
      </c>
      <c r="U13" s="4"/>
      <c r="V13" s="4"/>
      <c r="W13" s="4"/>
      <c r="X13" s="4" t="s">
        <v>76</v>
      </c>
      <c r="Y13" s="4" t="s">
        <v>76</v>
      </c>
      <c r="Z13" s="4" t="s">
        <v>76</v>
      </c>
      <c r="AA13" s="4" t="s">
        <v>76</v>
      </c>
      <c r="AB13" s="4" t="s">
        <v>76</v>
      </c>
      <c r="AC13" s="4" t="s">
        <v>76</v>
      </c>
      <c r="AD13" s="4" t="s">
        <v>76</v>
      </c>
      <c r="AE13" s="4" t="s">
        <v>76</v>
      </c>
      <c r="AF13" s="4" t="s">
        <v>76</v>
      </c>
      <c r="AG13" s="4" t="s">
        <v>76</v>
      </c>
      <c r="AH13" s="4" t="s">
        <v>76</v>
      </c>
      <c r="AI13" s="4" t="s">
        <v>76</v>
      </c>
      <c r="AJ13" s="4" t="s">
        <v>76</v>
      </c>
      <c r="AK13" s="4" t="s">
        <v>76</v>
      </c>
      <c r="AL13" s="4" t="s">
        <v>76</v>
      </c>
      <c r="AM13" s="4" t="s">
        <v>76</v>
      </c>
      <c r="AN13" s="4"/>
      <c r="AO13" s="4"/>
      <c r="AP13" s="4"/>
      <c r="AQ13" s="4"/>
      <c r="AR13" s="4">
        <v>36</v>
      </c>
      <c r="AS13" s="4"/>
      <c r="AT13" s="4"/>
      <c r="AU13" s="4"/>
      <c r="AV13" s="4"/>
      <c r="AW13" s="4"/>
      <c r="AX13" s="4"/>
      <c r="AY13" s="4"/>
      <c r="AZ13" s="4">
        <v>1</v>
      </c>
      <c r="BA13" s="4" t="s">
        <v>84</v>
      </c>
      <c r="BB13" s="4" t="s">
        <v>73</v>
      </c>
      <c r="BC13" s="4">
        <v>1</v>
      </c>
      <c r="BD13" s="4" t="s">
        <v>99</v>
      </c>
      <c r="BE13" s="4" t="s">
        <v>100</v>
      </c>
      <c r="BF13" s="4" t="s">
        <v>100</v>
      </c>
      <c r="BG13" s="4">
        <v>0</v>
      </c>
      <c r="BH13" s="4">
        <v>0</v>
      </c>
      <c r="BI13" s="4"/>
      <c r="BJ13" s="4"/>
      <c r="BK13" s="4"/>
      <c r="BL13" s="4">
        <v>0</v>
      </c>
      <c r="BM13" s="4"/>
      <c r="BN13" s="4"/>
      <c r="BO13" s="4"/>
      <c r="BP13" s="4"/>
      <c r="BQ13" s="4" t="s">
        <v>95</v>
      </c>
      <c r="BR13" s="4" t="s">
        <v>101</v>
      </c>
    </row>
    <row r="14" spans="1:70" ht="20.100000000000001" customHeight="1">
      <c r="A14" s="13">
        <v>72</v>
      </c>
      <c r="B14" s="13"/>
      <c r="C14" s="14">
        <v>45670</v>
      </c>
      <c r="D14" s="13">
        <v>7.6</v>
      </c>
      <c r="E14" s="13"/>
      <c r="F14" s="13">
        <v>0.2923</v>
      </c>
      <c r="G14" s="13"/>
      <c r="H14" s="13"/>
      <c r="I14" s="13"/>
      <c r="J14" s="13">
        <v>1</v>
      </c>
      <c r="K14" s="13">
        <v>2</v>
      </c>
      <c r="L14" s="13">
        <v>5</v>
      </c>
      <c r="M14" s="13" t="s">
        <v>97</v>
      </c>
      <c r="N14" s="13" t="s">
        <v>77</v>
      </c>
      <c r="O14" s="13" t="s">
        <v>103</v>
      </c>
      <c r="P14" s="13"/>
      <c r="Q14" s="13" t="s">
        <v>102</v>
      </c>
      <c r="R14" s="13" t="s">
        <v>73</v>
      </c>
      <c r="S14" s="13">
        <v>1</v>
      </c>
      <c r="T14" s="13">
        <v>60</v>
      </c>
      <c r="U14" s="13"/>
      <c r="V14" s="13"/>
      <c r="W14" s="13"/>
      <c r="X14" s="13">
        <v>4</v>
      </c>
      <c r="Y14" s="13" t="s">
        <v>97</v>
      </c>
      <c r="Z14" s="13" t="s">
        <v>72</v>
      </c>
      <c r="AA14" s="13" t="s">
        <v>104</v>
      </c>
      <c r="AB14" s="13"/>
      <c r="AC14" s="13" t="s">
        <v>73</v>
      </c>
      <c r="AD14" s="13">
        <v>1</v>
      </c>
      <c r="AE14" s="13">
        <v>40</v>
      </c>
      <c r="AF14" s="13" t="s">
        <v>76</v>
      </c>
      <c r="AG14" s="13" t="s">
        <v>76</v>
      </c>
      <c r="AH14" s="13" t="s">
        <v>76</v>
      </c>
      <c r="AI14" s="13" t="s">
        <v>76</v>
      </c>
      <c r="AJ14" s="13" t="s">
        <v>76</v>
      </c>
      <c r="AK14" s="13" t="s">
        <v>76</v>
      </c>
      <c r="AL14" s="13" t="s">
        <v>76</v>
      </c>
      <c r="AM14" s="13" t="s">
        <v>76</v>
      </c>
      <c r="AN14" s="13"/>
      <c r="AO14" s="13"/>
      <c r="AP14" s="13"/>
      <c r="AQ14" s="13"/>
      <c r="AR14" s="13">
        <v>26</v>
      </c>
      <c r="AS14" s="13"/>
      <c r="AT14" s="13"/>
      <c r="AU14" s="13"/>
      <c r="AV14" s="13"/>
      <c r="AW14" s="13"/>
      <c r="AX14" s="13"/>
      <c r="AY14" s="13"/>
      <c r="AZ14" s="13">
        <v>1</v>
      </c>
      <c r="BA14" s="13" t="s">
        <v>84</v>
      </c>
      <c r="BB14" s="13" t="s">
        <v>83</v>
      </c>
      <c r="BC14" s="13">
        <v>2</v>
      </c>
      <c r="BD14" s="13">
        <v>2</v>
      </c>
      <c r="BE14" s="13">
        <v>0</v>
      </c>
      <c r="BF14" s="13" t="s">
        <v>100</v>
      </c>
      <c r="BG14" s="13">
        <v>1</v>
      </c>
      <c r="BH14" s="13">
        <v>0</v>
      </c>
      <c r="BI14" s="13"/>
      <c r="BJ14" s="13"/>
      <c r="BK14" s="13"/>
      <c r="BL14" s="13">
        <v>0</v>
      </c>
      <c r="BM14" s="13"/>
      <c r="BN14" s="13"/>
      <c r="BO14" s="13"/>
      <c r="BP14" s="13"/>
      <c r="BQ14" s="13" t="s">
        <v>95</v>
      </c>
      <c r="BR14" s="13" t="s">
        <v>75</v>
      </c>
    </row>
    <row r="15" spans="1:70" ht="20.100000000000001" customHeight="1">
      <c r="A15" s="4">
        <v>63</v>
      </c>
      <c r="B15" s="4"/>
      <c r="C15" s="9">
        <v>45672</v>
      </c>
      <c r="D15" s="4">
        <v>13.37</v>
      </c>
      <c r="E15" s="4"/>
      <c r="F15" s="4">
        <f>D15/AR15</f>
        <v>0.29579646017699113</v>
      </c>
      <c r="G15" s="4">
        <v>0</v>
      </c>
      <c r="H15" s="4" t="s">
        <v>80</v>
      </c>
      <c r="I15" s="4"/>
      <c r="J15" s="4">
        <v>1</v>
      </c>
      <c r="K15" s="4">
        <v>2</v>
      </c>
      <c r="L15" s="4">
        <v>5</v>
      </c>
      <c r="M15" s="4" t="s">
        <v>105</v>
      </c>
      <c r="N15" s="4" t="s">
        <v>77</v>
      </c>
      <c r="O15" s="4" t="s">
        <v>91</v>
      </c>
      <c r="P15" s="4"/>
      <c r="Q15" s="4" t="s">
        <v>110</v>
      </c>
      <c r="R15" s="4" t="s">
        <v>73</v>
      </c>
      <c r="S15" s="4">
        <v>1</v>
      </c>
      <c r="T15" s="4">
        <v>50</v>
      </c>
      <c r="U15" s="4"/>
      <c r="V15" s="4"/>
      <c r="W15" s="4"/>
      <c r="X15" s="4" t="s">
        <v>76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>
        <v>45.2</v>
      </c>
      <c r="AS15" s="4">
        <v>1</v>
      </c>
      <c r="AT15" s="4"/>
      <c r="AU15" s="4"/>
      <c r="AV15" s="4"/>
      <c r="AW15" s="4"/>
      <c r="AX15" s="4"/>
      <c r="AY15" s="4"/>
      <c r="AZ15" s="4">
        <v>1</v>
      </c>
      <c r="BA15" s="4" t="s">
        <v>84</v>
      </c>
      <c r="BB15" s="4" t="s">
        <v>83</v>
      </c>
      <c r="BC15" s="4">
        <v>2</v>
      </c>
      <c r="BD15" s="4" t="s">
        <v>93</v>
      </c>
      <c r="BE15" s="4" t="s">
        <v>100</v>
      </c>
      <c r="BF15" s="4">
        <v>1</v>
      </c>
      <c r="BG15" s="4">
        <v>0</v>
      </c>
      <c r="BH15" s="4">
        <v>1</v>
      </c>
      <c r="BI15" s="4" t="s">
        <v>76</v>
      </c>
      <c r="BJ15" s="4" t="s">
        <v>94</v>
      </c>
      <c r="BK15" s="4" t="s">
        <v>76</v>
      </c>
      <c r="BL15" s="4">
        <v>0</v>
      </c>
      <c r="BM15" s="4"/>
      <c r="BN15" s="4"/>
      <c r="BO15" s="4"/>
      <c r="BP15" s="4"/>
      <c r="BQ15" s="4" t="s">
        <v>95</v>
      </c>
      <c r="BR15" s="4" t="s">
        <v>106</v>
      </c>
    </row>
    <row r="16" spans="1:70" ht="20.100000000000001" customHeight="1">
      <c r="A16" s="4">
        <v>66</v>
      </c>
      <c r="B16" s="4"/>
      <c r="C16" s="9">
        <v>45685</v>
      </c>
      <c r="D16" s="4">
        <v>2.95</v>
      </c>
      <c r="E16" s="4"/>
      <c r="F16" s="4">
        <f>D16/AR16</f>
        <v>0.116600790513834</v>
      </c>
      <c r="G16" s="4">
        <v>1</v>
      </c>
      <c r="H16" s="4" t="s">
        <v>107</v>
      </c>
      <c r="I16" s="4">
        <v>0</v>
      </c>
      <c r="J16" s="4">
        <v>1</v>
      </c>
      <c r="K16" s="10"/>
      <c r="L16" s="4">
        <v>4</v>
      </c>
      <c r="M16" s="4" t="s">
        <v>81</v>
      </c>
      <c r="N16" s="4" t="s">
        <v>77</v>
      </c>
      <c r="O16" s="4" t="s">
        <v>111</v>
      </c>
      <c r="P16" s="4"/>
      <c r="Q16" s="4" t="s">
        <v>109</v>
      </c>
      <c r="R16" s="4" t="s">
        <v>73</v>
      </c>
      <c r="S16" s="4">
        <v>1</v>
      </c>
      <c r="T16" s="10"/>
      <c r="U16" s="4"/>
      <c r="V16" s="4"/>
      <c r="W16" s="4"/>
      <c r="X16" s="4">
        <v>2</v>
      </c>
      <c r="Y16" s="4"/>
      <c r="Z16" s="4"/>
      <c r="AA16" s="4" t="s">
        <v>112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>
        <v>25.3</v>
      </c>
      <c r="AS16" s="4"/>
      <c r="AT16" s="4"/>
      <c r="AU16" s="4"/>
      <c r="AV16" s="4"/>
      <c r="AW16" s="4"/>
      <c r="AX16" s="4"/>
      <c r="AY16" s="4"/>
      <c r="AZ16" s="4">
        <v>1</v>
      </c>
      <c r="BA16" s="4" t="s">
        <v>84</v>
      </c>
      <c r="BB16" s="4" t="s">
        <v>73</v>
      </c>
      <c r="BC16" s="4">
        <v>1</v>
      </c>
      <c r="BD16" s="4">
        <v>2</v>
      </c>
      <c r="BE16" s="4" t="s">
        <v>100</v>
      </c>
      <c r="BF16" s="4">
        <v>0</v>
      </c>
      <c r="BG16" s="4">
        <v>0</v>
      </c>
      <c r="BH16" s="4">
        <v>0</v>
      </c>
      <c r="BI16" s="4"/>
      <c r="BJ16" s="4"/>
      <c r="BK16" s="4"/>
      <c r="BL16" s="4">
        <v>0</v>
      </c>
      <c r="BM16" s="4"/>
      <c r="BN16" s="4"/>
      <c r="BO16" s="4"/>
      <c r="BP16" s="4"/>
      <c r="BQ16" s="4" t="s">
        <v>95</v>
      </c>
      <c r="BR16" s="4" t="s">
        <v>96</v>
      </c>
    </row>
    <row r="17" spans="1:70" ht="20.100000000000001" customHeight="1">
      <c r="A17" s="4">
        <v>60</v>
      </c>
      <c r="B17" s="4"/>
      <c r="C17" s="9">
        <v>45686</v>
      </c>
      <c r="D17" s="4">
        <v>13.9</v>
      </c>
      <c r="E17" s="11">
        <v>13.9</v>
      </c>
      <c r="F17" s="4">
        <f>D17/AR17</f>
        <v>0.39714285714285713</v>
      </c>
      <c r="G17" s="4">
        <v>1</v>
      </c>
      <c r="H17" s="4" t="s">
        <v>113</v>
      </c>
      <c r="I17" s="4"/>
      <c r="J17" s="4">
        <v>1</v>
      </c>
      <c r="K17" s="4">
        <v>2</v>
      </c>
      <c r="L17" s="4">
        <v>4</v>
      </c>
      <c r="M17" s="4" t="s">
        <v>97</v>
      </c>
      <c r="N17" s="4" t="s">
        <v>72</v>
      </c>
      <c r="O17" s="4"/>
      <c r="P17" s="4"/>
      <c r="Q17" s="4" t="s">
        <v>114</v>
      </c>
      <c r="R17" s="4" t="s">
        <v>83</v>
      </c>
      <c r="S17" s="4">
        <v>2</v>
      </c>
      <c r="T17" s="4">
        <v>27.5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>
        <v>35</v>
      </c>
      <c r="AS17" s="4"/>
      <c r="AT17" s="4"/>
      <c r="AU17" s="4"/>
      <c r="AV17" s="4"/>
      <c r="AW17" s="4"/>
      <c r="AX17" s="4"/>
      <c r="AY17" s="4"/>
      <c r="AZ17" s="4">
        <v>1</v>
      </c>
      <c r="BA17" s="4" t="s">
        <v>84</v>
      </c>
      <c r="BB17" s="4" t="s">
        <v>83</v>
      </c>
      <c r="BC17" s="4">
        <v>2</v>
      </c>
      <c r="BD17" s="4">
        <v>2</v>
      </c>
      <c r="BE17" s="4" t="s">
        <v>100</v>
      </c>
      <c r="BF17" s="4" t="s">
        <v>100</v>
      </c>
      <c r="BG17" s="4">
        <v>0</v>
      </c>
      <c r="BH17" s="4">
        <v>0</v>
      </c>
      <c r="BI17" s="4"/>
      <c r="BJ17" s="4"/>
      <c r="BK17" s="4"/>
      <c r="BL17" s="4">
        <v>0</v>
      </c>
      <c r="BM17" s="4"/>
      <c r="BN17" s="4"/>
      <c r="BO17" s="4"/>
      <c r="BP17" s="4"/>
      <c r="BQ17" s="4" t="s">
        <v>95</v>
      </c>
      <c r="BR17" s="4" t="s">
        <v>115</v>
      </c>
    </row>
    <row r="18" spans="1:70" ht="20.100000000000001" customHeight="1">
      <c r="A18" s="4">
        <v>59</v>
      </c>
      <c r="B18" s="4"/>
      <c r="C18" s="9">
        <v>45691</v>
      </c>
      <c r="D18" s="4">
        <v>13</v>
      </c>
      <c r="E18" s="4"/>
      <c r="F18" s="4">
        <f t="shared" ref="F18:F79" si="0">D18/AR18</f>
        <v>0.30232558139534882</v>
      </c>
      <c r="G18" s="4"/>
      <c r="H18" s="4"/>
      <c r="I18" s="4"/>
      <c r="J18" s="4">
        <v>1</v>
      </c>
      <c r="K18" s="4"/>
      <c r="L18" s="4">
        <v>5</v>
      </c>
      <c r="M18" s="4" t="s">
        <v>81</v>
      </c>
      <c r="N18" s="4"/>
      <c r="O18" s="4" t="s">
        <v>116</v>
      </c>
      <c r="P18" s="4"/>
      <c r="Q18" s="4" t="s">
        <v>117</v>
      </c>
      <c r="R18" s="4" t="s">
        <v>73</v>
      </c>
      <c r="S18" s="4">
        <v>1</v>
      </c>
      <c r="T18" s="4">
        <v>10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>
        <v>43</v>
      </c>
      <c r="AS18" s="4"/>
      <c r="AT18" s="4"/>
      <c r="AU18" s="4"/>
      <c r="AV18" s="4"/>
      <c r="AW18" s="4"/>
      <c r="AX18" s="4"/>
      <c r="AY18" s="4"/>
      <c r="AZ18" s="4">
        <v>1</v>
      </c>
      <c r="BA18" s="4" t="s">
        <v>84</v>
      </c>
      <c r="BB18" s="4" t="s">
        <v>83</v>
      </c>
      <c r="BC18" s="4">
        <v>2</v>
      </c>
      <c r="BD18" s="4">
        <v>2</v>
      </c>
      <c r="BE18" s="4" t="s">
        <v>100</v>
      </c>
      <c r="BF18" s="4">
        <v>0</v>
      </c>
      <c r="BG18" s="4">
        <v>0</v>
      </c>
      <c r="BH18" s="4">
        <v>0</v>
      </c>
      <c r="BI18" s="4"/>
      <c r="BJ18" s="4"/>
      <c r="BK18" s="4"/>
      <c r="BL18" s="4">
        <v>0</v>
      </c>
      <c r="BM18" s="4"/>
      <c r="BN18" s="4"/>
      <c r="BO18" s="4"/>
      <c r="BP18" s="4"/>
      <c r="BQ18" s="4" t="s">
        <v>95</v>
      </c>
      <c r="BR18" s="4" t="s">
        <v>118</v>
      </c>
    </row>
    <row r="19" spans="1:70" ht="20.100000000000001" customHeight="1">
      <c r="A19" s="4">
        <v>78</v>
      </c>
      <c r="B19" s="4"/>
      <c r="C19" s="9">
        <v>45691</v>
      </c>
      <c r="D19" s="4">
        <v>5.7</v>
      </c>
      <c r="E19" s="4"/>
      <c r="F19" s="4">
        <f t="shared" si="0"/>
        <v>7.9166666666666663E-2</v>
      </c>
      <c r="G19" s="4"/>
      <c r="H19" s="4"/>
      <c r="I19" s="4"/>
      <c r="J19" s="4">
        <v>1</v>
      </c>
      <c r="K19" s="4">
        <v>4</v>
      </c>
      <c r="L19" s="4">
        <v>4</v>
      </c>
      <c r="M19" s="4" t="s">
        <v>81</v>
      </c>
      <c r="N19" s="4" t="s">
        <v>72</v>
      </c>
      <c r="O19" s="4" t="s">
        <v>111</v>
      </c>
      <c r="P19" s="4"/>
      <c r="Q19" s="4" t="s">
        <v>119</v>
      </c>
      <c r="R19" s="4" t="s">
        <v>88</v>
      </c>
      <c r="S19" s="4">
        <v>3</v>
      </c>
      <c r="T19" s="4">
        <v>25</v>
      </c>
      <c r="U19" s="4"/>
      <c r="V19" s="4"/>
      <c r="W19" s="4"/>
      <c r="X19" s="4">
        <v>4</v>
      </c>
      <c r="Y19" s="4" t="s">
        <v>81</v>
      </c>
      <c r="Z19" s="4" t="s">
        <v>72</v>
      </c>
      <c r="AA19" s="4" t="s">
        <v>82</v>
      </c>
      <c r="AB19" s="4"/>
      <c r="AC19" s="4" t="s">
        <v>73</v>
      </c>
      <c r="AD19" s="4">
        <v>1</v>
      </c>
      <c r="AE19" s="4">
        <v>30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>
        <v>72</v>
      </c>
      <c r="AS19" s="4"/>
      <c r="AT19" s="4"/>
      <c r="AU19" s="4"/>
      <c r="AV19" s="4"/>
      <c r="AW19" s="4"/>
      <c r="AX19" s="4"/>
      <c r="AY19" s="4"/>
      <c r="AZ19" s="4">
        <v>1</v>
      </c>
      <c r="BA19" s="4" t="s">
        <v>84</v>
      </c>
      <c r="BB19" s="4" t="s">
        <v>88</v>
      </c>
      <c r="BC19" s="4">
        <v>3</v>
      </c>
      <c r="BD19" s="4" t="s">
        <v>93</v>
      </c>
      <c r="BE19" s="4" t="s">
        <v>100</v>
      </c>
      <c r="BF19" s="4">
        <v>0</v>
      </c>
      <c r="BG19" s="4">
        <v>0</v>
      </c>
      <c r="BH19" s="4">
        <v>1</v>
      </c>
      <c r="BI19" s="4" t="s">
        <v>76</v>
      </c>
      <c r="BJ19" s="4" t="s">
        <v>94</v>
      </c>
      <c r="BK19" s="4" t="s">
        <v>76</v>
      </c>
      <c r="BL19" s="4">
        <v>0</v>
      </c>
      <c r="BM19" s="4"/>
      <c r="BN19" s="4"/>
      <c r="BO19" s="4"/>
      <c r="BP19" s="4"/>
      <c r="BQ19" s="4" t="s">
        <v>95</v>
      </c>
      <c r="BR19" s="4" t="s">
        <v>75</v>
      </c>
    </row>
    <row r="20" spans="1:70" ht="20.100000000000001" customHeight="1">
      <c r="A20" s="4">
        <v>76</v>
      </c>
      <c r="B20" s="4"/>
      <c r="C20" s="9">
        <v>45685</v>
      </c>
      <c r="D20" s="4">
        <v>0.37</v>
      </c>
      <c r="E20" s="4"/>
      <c r="F20" s="4">
        <f t="shared" si="0"/>
        <v>0.01</v>
      </c>
      <c r="G20" s="4">
        <v>1</v>
      </c>
      <c r="H20" s="4" t="s">
        <v>126</v>
      </c>
      <c r="I20" s="4">
        <v>1</v>
      </c>
      <c r="J20" s="4">
        <v>1</v>
      </c>
      <c r="K20" s="4"/>
      <c r="L20" s="4">
        <v>5</v>
      </c>
      <c r="M20" s="4" t="s">
        <v>105</v>
      </c>
      <c r="N20" s="4" t="s">
        <v>72</v>
      </c>
      <c r="O20" s="4" t="s">
        <v>120</v>
      </c>
      <c r="P20" s="4"/>
      <c r="Q20" s="4" t="s">
        <v>121</v>
      </c>
      <c r="R20" s="4" t="s">
        <v>88</v>
      </c>
      <c r="S20" s="4">
        <v>3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>
        <v>37</v>
      </c>
      <c r="AS20" s="4">
        <v>0</v>
      </c>
      <c r="AT20" s="4"/>
      <c r="AU20" s="4"/>
      <c r="AV20" s="4"/>
      <c r="AW20" s="4"/>
      <c r="AX20" s="4"/>
      <c r="AY20" s="4"/>
      <c r="AZ20" s="4">
        <v>1</v>
      </c>
      <c r="BA20" s="4" t="s">
        <v>84</v>
      </c>
      <c r="BB20" s="4" t="s">
        <v>88</v>
      </c>
      <c r="BC20" s="4">
        <v>3</v>
      </c>
      <c r="BD20" s="4" t="s">
        <v>122</v>
      </c>
      <c r="BE20" s="4">
        <v>0</v>
      </c>
      <c r="BF20" s="4" t="s">
        <v>100</v>
      </c>
      <c r="BG20" s="4">
        <v>0</v>
      </c>
      <c r="BH20" s="4">
        <v>0</v>
      </c>
      <c r="BI20" s="4"/>
      <c r="BJ20" s="4"/>
      <c r="BK20" s="4"/>
      <c r="BL20" s="4">
        <v>0</v>
      </c>
      <c r="BM20" s="4"/>
      <c r="BN20" s="4"/>
      <c r="BO20" s="4"/>
      <c r="BP20" s="4"/>
      <c r="BQ20" s="4" t="s">
        <v>95</v>
      </c>
      <c r="BR20" s="4" t="s">
        <v>123</v>
      </c>
    </row>
    <row r="21" spans="1:70" ht="20.100000000000001" customHeight="1">
      <c r="A21" s="4">
        <v>69</v>
      </c>
      <c r="B21" s="4"/>
      <c r="C21" s="9">
        <v>45695</v>
      </c>
      <c r="D21" s="4">
        <v>11.5</v>
      </c>
      <c r="E21" s="4">
        <v>19.8</v>
      </c>
      <c r="F21" s="4">
        <f t="shared" si="0"/>
        <v>0.20909090909090908</v>
      </c>
      <c r="G21" s="4">
        <v>0</v>
      </c>
      <c r="H21" s="4" t="s">
        <v>80</v>
      </c>
      <c r="I21" s="4"/>
      <c r="J21" s="4">
        <v>2</v>
      </c>
      <c r="K21" s="4">
        <v>1</v>
      </c>
      <c r="L21" s="4">
        <v>4</v>
      </c>
      <c r="M21" s="4" t="s">
        <v>105</v>
      </c>
      <c r="N21" s="4" t="s">
        <v>77</v>
      </c>
      <c r="O21" s="4" t="s">
        <v>78</v>
      </c>
      <c r="P21" s="4"/>
      <c r="Q21" s="4" t="s">
        <v>114</v>
      </c>
      <c r="R21" s="4" t="s">
        <v>73</v>
      </c>
      <c r="S21" s="4">
        <v>1</v>
      </c>
      <c r="T21" s="4">
        <v>90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>
        <v>55</v>
      </c>
      <c r="AS21" s="4"/>
      <c r="AT21" s="4"/>
      <c r="AU21" s="4"/>
      <c r="AV21" s="4"/>
      <c r="AW21" s="4"/>
      <c r="AX21" s="4"/>
      <c r="AY21" s="4"/>
      <c r="AZ21" s="4">
        <v>1</v>
      </c>
      <c r="BA21" s="4" t="s">
        <v>84</v>
      </c>
      <c r="BB21" s="4" t="s">
        <v>83</v>
      </c>
      <c r="BC21" s="4">
        <v>2</v>
      </c>
      <c r="BD21" s="4" t="s">
        <v>93</v>
      </c>
      <c r="BE21" s="4" t="s">
        <v>100</v>
      </c>
      <c r="BF21" s="4">
        <v>0</v>
      </c>
      <c r="BG21" s="4">
        <v>0</v>
      </c>
      <c r="BH21" s="4">
        <v>1</v>
      </c>
      <c r="BI21" s="4" t="s">
        <v>94</v>
      </c>
      <c r="BJ21" s="4" t="s">
        <v>76</v>
      </c>
      <c r="BK21" s="4" t="s">
        <v>76</v>
      </c>
      <c r="BL21" s="4">
        <v>1</v>
      </c>
      <c r="BM21" s="4" t="s">
        <v>94</v>
      </c>
      <c r="BN21" s="4" t="s">
        <v>76</v>
      </c>
      <c r="BO21" s="4" t="s">
        <v>76</v>
      </c>
      <c r="BP21" s="4"/>
      <c r="BQ21" s="4" t="s">
        <v>95</v>
      </c>
      <c r="BR21" s="4" t="s">
        <v>106</v>
      </c>
    </row>
    <row r="22" spans="1:70" ht="20.100000000000001" customHeight="1">
      <c r="A22" s="4">
        <v>65</v>
      </c>
      <c r="B22" s="4"/>
      <c r="C22" s="9">
        <v>45699</v>
      </c>
      <c r="D22" s="4">
        <v>4.32</v>
      </c>
      <c r="E22" s="4"/>
      <c r="F22" s="4">
        <f t="shared" si="0"/>
        <v>0.11675675675675676</v>
      </c>
      <c r="G22" s="4">
        <v>1</v>
      </c>
      <c r="H22" s="4" t="s">
        <v>89</v>
      </c>
      <c r="I22" s="4">
        <v>0</v>
      </c>
      <c r="J22" s="4">
        <v>1</v>
      </c>
      <c r="K22" s="4"/>
      <c r="L22" s="4">
        <v>4</v>
      </c>
      <c r="M22" s="4" t="s">
        <v>81</v>
      </c>
      <c r="N22" s="4" t="s">
        <v>77</v>
      </c>
      <c r="O22" s="4" t="s">
        <v>91</v>
      </c>
      <c r="P22" s="4"/>
      <c r="Q22" s="4" t="s">
        <v>114</v>
      </c>
      <c r="R22" s="4" t="s">
        <v>88</v>
      </c>
      <c r="S22" s="4">
        <v>3</v>
      </c>
      <c r="T22" s="4">
        <v>100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>
        <v>37</v>
      </c>
      <c r="AS22" s="4"/>
      <c r="AT22" s="4"/>
      <c r="AU22" s="4"/>
      <c r="AV22" s="4"/>
      <c r="AW22" s="4"/>
      <c r="AX22" s="4"/>
      <c r="AY22" s="4"/>
      <c r="AZ22" s="4">
        <v>1</v>
      </c>
      <c r="BA22" s="4" t="s">
        <v>84</v>
      </c>
      <c r="BB22" s="4" t="s">
        <v>124</v>
      </c>
      <c r="BC22" s="4">
        <v>5</v>
      </c>
      <c r="BD22" s="4">
        <v>3</v>
      </c>
      <c r="BE22" s="4" t="s">
        <v>100</v>
      </c>
      <c r="BF22" s="4">
        <v>0</v>
      </c>
      <c r="BG22" s="4">
        <v>0</v>
      </c>
      <c r="BH22" s="4">
        <v>1</v>
      </c>
      <c r="BI22" s="4" t="s">
        <v>76</v>
      </c>
      <c r="BJ22" s="4" t="s">
        <v>94</v>
      </c>
      <c r="BK22" s="4" t="s">
        <v>76</v>
      </c>
      <c r="BL22" s="4">
        <v>1</v>
      </c>
      <c r="BM22" s="4" t="s">
        <v>76</v>
      </c>
      <c r="BN22" s="4" t="s">
        <v>94</v>
      </c>
      <c r="BO22" s="4" t="s">
        <v>76</v>
      </c>
      <c r="BP22" s="4"/>
      <c r="BQ22" s="4" t="s">
        <v>125</v>
      </c>
      <c r="BR22" s="4" t="s">
        <v>115</v>
      </c>
    </row>
    <row r="23" spans="1:70" ht="19.899999999999999" customHeight="1">
      <c r="A23" s="13">
        <v>60</v>
      </c>
      <c r="B23" s="13"/>
      <c r="C23" s="14">
        <v>45699</v>
      </c>
      <c r="D23" s="13">
        <v>9.1999999999999993</v>
      </c>
      <c r="E23" s="13"/>
      <c r="F23" s="13">
        <f t="shared" si="0"/>
        <v>0.31506849315068491</v>
      </c>
      <c r="G23" s="13">
        <v>0</v>
      </c>
      <c r="H23" s="13" t="s">
        <v>89</v>
      </c>
      <c r="I23" s="13">
        <v>0</v>
      </c>
      <c r="J23" s="13">
        <v>1</v>
      </c>
      <c r="K23" s="13"/>
      <c r="L23" s="13">
        <v>3</v>
      </c>
      <c r="M23" s="13"/>
      <c r="N23" s="13" t="s">
        <v>77</v>
      </c>
      <c r="O23" s="13" t="s">
        <v>111</v>
      </c>
      <c r="P23" s="13"/>
      <c r="Q23" s="13" t="s">
        <v>127</v>
      </c>
      <c r="R23" s="13" t="s">
        <v>83</v>
      </c>
      <c r="S23" s="13">
        <v>2</v>
      </c>
      <c r="T23" s="13">
        <v>10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>
        <v>29.2</v>
      </c>
      <c r="AS23" s="13"/>
      <c r="AT23" s="13"/>
      <c r="AU23" s="13"/>
      <c r="AV23" s="13"/>
      <c r="AW23" s="13"/>
      <c r="AX23" s="13"/>
      <c r="AY23" s="13"/>
      <c r="AZ23" s="13">
        <v>1</v>
      </c>
      <c r="BA23" s="13" t="s">
        <v>84</v>
      </c>
      <c r="BB23" s="13" t="s">
        <v>73</v>
      </c>
      <c r="BC23" s="13">
        <v>1</v>
      </c>
      <c r="BD23" s="13">
        <v>4</v>
      </c>
      <c r="BE23" s="13">
        <v>1</v>
      </c>
      <c r="BF23" s="13">
        <v>0</v>
      </c>
      <c r="BG23" s="13">
        <v>1</v>
      </c>
      <c r="BH23" s="13"/>
      <c r="BI23" s="13"/>
      <c r="BJ23" s="13"/>
      <c r="BK23" s="13"/>
      <c r="BL23" s="13">
        <v>0</v>
      </c>
      <c r="BM23" s="13"/>
      <c r="BN23" s="13"/>
      <c r="BO23" s="13"/>
      <c r="BP23" s="13"/>
      <c r="BQ23" s="13" t="s">
        <v>125</v>
      </c>
      <c r="BR23" s="13" t="s">
        <v>123</v>
      </c>
    </row>
    <row r="24" spans="1:70" ht="19.899999999999999" customHeight="1">
      <c r="A24" s="13">
        <v>66</v>
      </c>
      <c r="B24" s="13"/>
      <c r="C24" s="14">
        <v>45700</v>
      </c>
      <c r="D24" s="13">
        <v>4.6900000000000004</v>
      </c>
      <c r="E24" s="13"/>
      <c r="F24" s="13">
        <f t="shared" si="0"/>
        <v>0.14656250000000001</v>
      </c>
      <c r="G24" s="13">
        <v>0</v>
      </c>
      <c r="H24" s="13" t="s">
        <v>80</v>
      </c>
      <c r="I24" s="13">
        <v>0</v>
      </c>
      <c r="J24" s="13">
        <v>1</v>
      </c>
      <c r="K24" s="13"/>
      <c r="L24" s="13">
        <v>4</v>
      </c>
      <c r="M24" s="13" t="s">
        <v>81</v>
      </c>
      <c r="N24" s="13" t="s">
        <v>72</v>
      </c>
      <c r="O24" s="13" t="s">
        <v>82</v>
      </c>
      <c r="P24" s="13"/>
      <c r="Q24" s="13" t="s">
        <v>138</v>
      </c>
      <c r="R24" s="13" t="s">
        <v>83</v>
      </c>
      <c r="S24" s="13">
        <v>2</v>
      </c>
      <c r="T24" s="13">
        <v>20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>
        <v>32</v>
      </c>
      <c r="AS24" s="13"/>
      <c r="AT24" s="13"/>
      <c r="AU24" s="13"/>
      <c r="AV24" s="13"/>
      <c r="AW24" s="13"/>
      <c r="AX24" s="13"/>
      <c r="AY24" s="13"/>
      <c r="AZ24" s="13">
        <v>1</v>
      </c>
      <c r="BA24" s="13" t="s">
        <v>84</v>
      </c>
      <c r="BB24" s="13" t="s">
        <v>83</v>
      </c>
      <c r="BC24" s="13">
        <v>2</v>
      </c>
      <c r="BD24" s="13">
        <v>2</v>
      </c>
      <c r="BE24" s="13" t="s">
        <v>100</v>
      </c>
      <c r="BF24" s="13">
        <v>0</v>
      </c>
      <c r="BG24" s="13" t="s">
        <v>147</v>
      </c>
      <c r="BH24" s="13">
        <v>0</v>
      </c>
      <c r="BI24" s="13"/>
      <c r="BJ24" s="13"/>
      <c r="BK24" s="13"/>
      <c r="BL24" s="13">
        <v>0</v>
      </c>
      <c r="BM24" s="13"/>
      <c r="BN24" s="13"/>
      <c r="BO24" s="13"/>
      <c r="BP24" s="13"/>
      <c r="BQ24" s="13" t="s">
        <v>125</v>
      </c>
      <c r="BR24" s="13" t="s">
        <v>115</v>
      </c>
    </row>
    <row r="25" spans="1:70" ht="19.899999999999999" customHeight="1">
      <c r="A25" s="13">
        <v>47</v>
      </c>
      <c r="B25" s="13"/>
      <c r="C25" s="14">
        <v>45705</v>
      </c>
      <c r="D25" s="13">
        <v>13</v>
      </c>
      <c r="E25" s="13"/>
      <c r="F25" s="13">
        <f t="shared" si="0"/>
        <v>0.65</v>
      </c>
      <c r="G25" s="13">
        <v>0</v>
      </c>
      <c r="H25" s="13" t="s">
        <v>80</v>
      </c>
      <c r="I25" s="13"/>
      <c r="J25" s="13">
        <v>1</v>
      </c>
      <c r="K25" s="13">
        <v>2</v>
      </c>
      <c r="L25" s="13"/>
      <c r="M25" s="13"/>
      <c r="N25" s="13"/>
      <c r="O25" s="13"/>
      <c r="P25" s="13"/>
      <c r="Q25" s="13"/>
      <c r="R25" s="13" t="s">
        <v>83</v>
      </c>
      <c r="S25" s="13">
        <v>2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>
        <v>20</v>
      </c>
      <c r="AS25" s="13"/>
      <c r="AT25" s="13"/>
      <c r="AU25" s="13"/>
      <c r="AV25" s="13"/>
      <c r="AW25" s="13"/>
      <c r="AX25" s="13"/>
      <c r="AY25" s="13"/>
      <c r="AZ25" s="13">
        <v>1</v>
      </c>
      <c r="BA25" s="13" t="s">
        <v>84</v>
      </c>
      <c r="BB25" s="13" t="s">
        <v>83</v>
      </c>
      <c r="BC25" s="13">
        <v>2</v>
      </c>
      <c r="BD25" s="13">
        <v>3</v>
      </c>
      <c r="BE25" s="13">
        <v>0</v>
      </c>
      <c r="BF25" s="13">
        <v>0</v>
      </c>
      <c r="BG25" s="13" t="s">
        <v>147</v>
      </c>
      <c r="BH25" s="13">
        <v>1</v>
      </c>
      <c r="BI25" s="13" t="s">
        <v>94</v>
      </c>
      <c r="BJ25" s="13" t="s">
        <v>76</v>
      </c>
      <c r="BK25" s="13" t="s">
        <v>76</v>
      </c>
      <c r="BL25" s="13">
        <v>0</v>
      </c>
      <c r="BM25" s="13"/>
      <c r="BN25" s="13"/>
      <c r="BO25" s="13"/>
      <c r="BP25" s="13"/>
      <c r="BQ25" s="13" t="s">
        <v>95</v>
      </c>
      <c r="BR25" s="13" t="s">
        <v>106</v>
      </c>
    </row>
    <row r="26" spans="1:70" ht="19.899999999999999" customHeight="1">
      <c r="A26" s="4">
        <v>73</v>
      </c>
      <c r="B26" s="4"/>
      <c r="C26" s="9">
        <v>45705</v>
      </c>
      <c r="D26" s="4">
        <v>5.35</v>
      </c>
      <c r="E26" s="4"/>
      <c r="F26" s="4">
        <f t="shared" si="0"/>
        <v>8.8429752066115697E-2</v>
      </c>
      <c r="G26" s="4">
        <v>1</v>
      </c>
      <c r="H26" s="4" t="s">
        <v>129</v>
      </c>
      <c r="I26" s="4">
        <v>0</v>
      </c>
      <c r="J26" s="4">
        <v>1</v>
      </c>
      <c r="K26" s="4"/>
      <c r="L26" s="4">
        <v>4</v>
      </c>
      <c r="M26" s="4" t="s">
        <v>97</v>
      </c>
      <c r="N26" s="4" t="s">
        <v>77</v>
      </c>
      <c r="O26" s="4" t="s">
        <v>91</v>
      </c>
      <c r="P26" s="4"/>
      <c r="Q26" s="4" t="s">
        <v>109</v>
      </c>
      <c r="R26" s="4" t="s">
        <v>73</v>
      </c>
      <c r="S26" s="4">
        <v>1</v>
      </c>
      <c r="T26" s="4">
        <v>70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>
        <v>60.5</v>
      </c>
      <c r="AS26" s="4">
        <v>1</v>
      </c>
      <c r="AT26" s="4"/>
      <c r="AU26" s="4"/>
      <c r="AV26" s="4"/>
      <c r="AW26" s="4"/>
      <c r="AX26" s="4"/>
      <c r="AY26" s="4"/>
      <c r="AZ26" s="4">
        <v>1</v>
      </c>
      <c r="BA26" s="4" t="s">
        <v>84</v>
      </c>
      <c r="BB26" s="4" t="s">
        <v>73</v>
      </c>
      <c r="BC26" s="4">
        <v>1</v>
      </c>
      <c r="BD26" s="4">
        <v>2</v>
      </c>
      <c r="BE26" s="4" t="s">
        <v>100</v>
      </c>
      <c r="BF26" s="4">
        <v>0</v>
      </c>
      <c r="BG26" s="4">
        <v>0</v>
      </c>
      <c r="BH26" s="4">
        <v>0</v>
      </c>
      <c r="BI26" s="4"/>
      <c r="BJ26" s="4"/>
      <c r="BK26" s="4"/>
      <c r="BL26" s="4">
        <v>0</v>
      </c>
      <c r="BM26" s="4"/>
      <c r="BN26" s="4"/>
      <c r="BO26" s="4"/>
      <c r="BP26" s="4"/>
      <c r="BQ26" s="4" t="s">
        <v>95</v>
      </c>
      <c r="BR26" s="4" t="s">
        <v>75</v>
      </c>
    </row>
    <row r="27" spans="1:70" ht="19.899999999999999" customHeight="1">
      <c r="A27" s="13">
        <v>76</v>
      </c>
      <c r="B27" s="13"/>
      <c r="C27" s="14">
        <v>45707</v>
      </c>
      <c r="D27" s="13">
        <v>14.9</v>
      </c>
      <c r="E27" s="13"/>
      <c r="F27" s="13">
        <f t="shared" si="0"/>
        <v>0.3725</v>
      </c>
      <c r="G27" s="13">
        <v>1</v>
      </c>
      <c r="H27" s="13" t="s">
        <v>165</v>
      </c>
      <c r="I27" s="13">
        <v>0</v>
      </c>
      <c r="J27" s="13">
        <v>1</v>
      </c>
      <c r="K27" s="13"/>
      <c r="L27" s="13">
        <v>5</v>
      </c>
      <c r="M27" s="13"/>
      <c r="N27" s="13"/>
      <c r="O27" s="13"/>
      <c r="P27" s="13"/>
      <c r="Q27" s="13"/>
      <c r="R27" s="13" t="s">
        <v>83</v>
      </c>
      <c r="S27" s="13">
        <v>2</v>
      </c>
      <c r="T27" s="13">
        <v>15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>
        <v>40</v>
      </c>
      <c r="AS27" s="13">
        <v>0</v>
      </c>
      <c r="AT27" s="13" t="s">
        <v>161</v>
      </c>
      <c r="AU27" s="13"/>
      <c r="AV27" s="13"/>
      <c r="AW27" s="13"/>
      <c r="AX27" s="13"/>
      <c r="AY27" s="13"/>
      <c r="AZ27" s="13">
        <v>1</v>
      </c>
      <c r="BA27" s="13" t="s">
        <v>84</v>
      </c>
      <c r="BB27" s="13" t="s">
        <v>88</v>
      </c>
      <c r="BC27" s="13">
        <v>3</v>
      </c>
      <c r="BD27" s="13">
        <v>4</v>
      </c>
      <c r="BE27" s="13">
        <v>0</v>
      </c>
      <c r="BF27" s="13">
        <v>0</v>
      </c>
      <c r="BG27" s="13">
        <v>1</v>
      </c>
      <c r="BH27" s="13">
        <v>1</v>
      </c>
      <c r="BI27" s="13"/>
      <c r="BJ27" s="13"/>
      <c r="BK27" s="13" t="s">
        <v>94</v>
      </c>
      <c r="BL27" s="13">
        <v>1</v>
      </c>
      <c r="BM27" s="13"/>
      <c r="BN27" s="13"/>
      <c r="BO27" s="13" t="s">
        <v>94</v>
      </c>
      <c r="BP27" s="13"/>
      <c r="BQ27" s="13" t="s">
        <v>95</v>
      </c>
      <c r="BR27" s="13" t="s">
        <v>123</v>
      </c>
    </row>
    <row r="28" spans="1:70" ht="19.899999999999999" customHeight="1">
      <c r="A28" s="4">
        <v>72</v>
      </c>
      <c r="B28" s="4"/>
      <c r="C28" s="9">
        <v>45714</v>
      </c>
      <c r="D28" s="4">
        <v>3.56</v>
      </c>
      <c r="E28" s="4"/>
      <c r="F28" s="4">
        <f t="shared" si="0"/>
        <v>0.04</v>
      </c>
      <c r="G28" s="4">
        <v>0</v>
      </c>
      <c r="H28" s="4" t="s">
        <v>80</v>
      </c>
      <c r="I28" s="4">
        <v>0</v>
      </c>
      <c r="J28" s="4">
        <v>1</v>
      </c>
      <c r="K28" s="4"/>
      <c r="L28" s="4">
        <v>4</v>
      </c>
      <c r="M28" s="4" t="s">
        <v>81</v>
      </c>
      <c r="N28" s="4" t="s">
        <v>77</v>
      </c>
      <c r="O28" s="4" t="s">
        <v>78</v>
      </c>
      <c r="P28" s="4"/>
      <c r="Q28" s="4" t="s">
        <v>158</v>
      </c>
      <c r="R28" s="4" t="s">
        <v>73</v>
      </c>
      <c r="S28" s="4">
        <v>1</v>
      </c>
      <c r="T28" s="4">
        <v>10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>
        <v>89</v>
      </c>
      <c r="AS28" s="4">
        <v>1</v>
      </c>
      <c r="AT28" s="4"/>
      <c r="AU28" s="4"/>
      <c r="AV28" s="4"/>
      <c r="AW28" s="4"/>
      <c r="AX28" s="4"/>
      <c r="AY28" s="4"/>
      <c r="AZ28" s="4">
        <v>1</v>
      </c>
      <c r="BA28" s="4" t="s">
        <v>84</v>
      </c>
      <c r="BB28" s="4" t="s">
        <v>73</v>
      </c>
      <c r="BC28" s="4">
        <v>1</v>
      </c>
      <c r="BD28" s="4" t="s">
        <v>142</v>
      </c>
      <c r="BE28" s="4" t="s">
        <v>100</v>
      </c>
      <c r="BF28" s="4">
        <v>0</v>
      </c>
      <c r="BG28" s="4">
        <v>0</v>
      </c>
      <c r="BH28" s="4">
        <v>0</v>
      </c>
      <c r="BI28" s="4"/>
      <c r="BJ28" s="4"/>
      <c r="BK28" s="4"/>
      <c r="BL28" s="4">
        <v>0</v>
      </c>
      <c r="BM28" s="4"/>
      <c r="BN28" s="4"/>
      <c r="BO28" s="4"/>
      <c r="BP28" s="4"/>
      <c r="BQ28" s="4" t="s">
        <v>125</v>
      </c>
      <c r="BR28" s="4" t="s">
        <v>123</v>
      </c>
    </row>
    <row r="29" spans="1:70" ht="19.899999999999999" customHeight="1">
      <c r="A29" s="13">
        <v>75</v>
      </c>
      <c r="B29" s="13"/>
      <c r="C29" s="14">
        <v>45719</v>
      </c>
      <c r="D29" s="13">
        <v>12.1</v>
      </c>
      <c r="E29" s="13"/>
      <c r="F29" s="13">
        <f t="shared" si="0"/>
        <v>0.31842105263157894</v>
      </c>
      <c r="G29" s="13">
        <v>1</v>
      </c>
      <c r="H29" s="13" t="s">
        <v>129</v>
      </c>
      <c r="I29" s="13">
        <v>0</v>
      </c>
      <c r="J29" s="13">
        <v>1</v>
      </c>
      <c r="K29" s="13">
        <v>3</v>
      </c>
      <c r="L29" s="13">
        <v>5</v>
      </c>
      <c r="M29" s="13" t="s">
        <v>97</v>
      </c>
      <c r="N29" s="13" t="s">
        <v>72</v>
      </c>
      <c r="O29" s="13" t="s">
        <v>87</v>
      </c>
      <c r="P29" s="13"/>
      <c r="Q29" s="13" t="s">
        <v>92</v>
      </c>
      <c r="R29" s="13" t="s">
        <v>83</v>
      </c>
      <c r="S29" s="13">
        <v>2</v>
      </c>
      <c r="T29" s="13">
        <v>40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>
        <v>38</v>
      </c>
      <c r="AS29" s="13"/>
      <c r="AT29" s="13"/>
      <c r="AU29" s="13"/>
      <c r="AV29" s="13"/>
      <c r="AW29" s="13"/>
      <c r="AX29" s="13"/>
      <c r="AY29" s="13"/>
      <c r="AZ29" s="13">
        <v>1</v>
      </c>
      <c r="BA29" s="13" t="s">
        <v>84</v>
      </c>
      <c r="BB29" s="13" t="s">
        <v>83</v>
      </c>
      <c r="BC29" s="13">
        <v>2</v>
      </c>
      <c r="BD29" s="13">
        <v>4</v>
      </c>
      <c r="BE29" s="13" t="s">
        <v>100</v>
      </c>
      <c r="BF29" s="13">
        <v>0</v>
      </c>
      <c r="BG29" s="13">
        <v>1</v>
      </c>
      <c r="BH29" s="13">
        <v>1</v>
      </c>
      <c r="BI29" s="13"/>
      <c r="BJ29" s="13"/>
      <c r="BK29" s="13"/>
      <c r="BL29" s="13">
        <v>0</v>
      </c>
      <c r="BM29" s="13"/>
      <c r="BN29" s="13"/>
      <c r="BO29" s="13"/>
      <c r="BP29" s="13"/>
      <c r="BQ29" s="13" t="s">
        <v>125</v>
      </c>
      <c r="BR29" s="13" t="s">
        <v>96</v>
      </c>
    </row>
    <row r="30" spans="1:70" ht="19.899999999999999" customHeight="1">
      <c r="A30" s="4">
        <v>72</v>
      </c>
      <c r="B30" s="4"/>
      <c r="C30" s="9">
        <v>45721</v>
      </c>
      <c r="D30" s="4">
        <v>9.0500000000000007</v>
      </c>
      <c r="E30" s="4"/>
      <c r="F30" s="4">
        <f t="shared" si="0"/>
        <v>0.18854166666666669</v>
      </c>
      <c r="G30" s="4">
        <v>1</v>
      </c>
      <c r="H30" s="4" t="s">
        <v>129</v>
      </c>
      <c r="I30" s="4">
        <v>0</v>
      </c>
      <c r="J30" s="4">
        <v>1</v>
      </c>
      <c r="K30" s="4"/>
      <c r="L30" s="4">
        <v>4</v>
      </c>
      <c r="M30" s="4"/>
      <c r="N30" s="4" t="s">
        <v>72</v>
      </c>
      <c r="O30" s="4"/>
      <c r="P30" s="4"/>
      <c r="Q30" s="4" t="s">
        <v>174</v>
      </c>
      <c r="R30" s="4" t="s">
        <v>88</v>
      </c>
      <c r="S30" s="4">
        <v>3</v>
      </c>
      <c r="T30" s="4">
        <v>50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>
        <v>48</v>
      </c>
      <c r="AS30" s="4"/>
      <c r="AT30" s="4"/>
      <c r="AU30" s="4"/>
      <c r="AV30" s="4"/>
      <c r="AW30" s="4"/>
      <c r="AX30" s="4"/>
      <c r="AY30" s="4"/>
      <c r="AZ30" s="4">
        <v>1</v>
      </c>
      <c r="BA30" s="4" t="s">
        <v>84</v>
      </c>
      <c r="BB30" s="4" t="s">
        <v>88</v>
      </c>
      <c r="BC30" s="4">
        <v>3</v>
      </c>
      <c r="BD30" s="4" t="s">
        <v>135</v>
      </c>
      <c r="BE30" s="4" t="s">
        <v>100</v>
      </c>
      <c r="BF30" s="4">
        <v>0</v>
      </c>
      <c r="BG30" s="4">
        <v>0</v>
      </c>
      <c r="BH30" s="4">
        <v>1</v>
      </c>
      <c r="BI30" s="4"/>
      <c r="BJ30" s="4"/>
      <c r="BK30" s="4" t="s">
        <v>94</v>
      </c>
      <c r="BL30" s="4">
        <v>1</v>
      </c>
      <c r="BM30" s="4" t="s">
        <v>76</v>
      </c>
      <c r="BN30" s="4" t="s">
        <v>94</v>
      </c>
      <c r="BO30" s="4" t="s">
        <v>76</v>
      </c>
      <c r="BP30" s="4"/>
      <c r="BQ30" s="4" t="s">
        <v>125</v>
      </c>
      <c r="BR30" s="4" t="s">
        <v>173</v>
      </c>
    </row>
    <row r="31" spans="1:70" ht="19.899999999999999" customHeight="1">
      <c r="A31" s="4">
        <v>65</v>
      </c>
      <c r="B31" s="4"/>
      <c r="C31" s="9">
        <v>45726</v>
      </c>
      <c r="D31" s="4">
        <v>3.7</v>
      </c>
      <c r="E31" s="4"/>
      <c r="F31" s="4">
        <f t="shared" si="0"/>
        <v>0.13703703703703704</v>
      </c>
      <c r="G31" s="4">
        <v>0</v>
      </c>
      <c r="H31" s="4" t="s">
        <v>80</v>
      </c>
      <c r="I31" s="4">
        <v>0</v>
      </c>
      <c r="J31" s="4">
        <v>1</v>
      </c>
      <c r="K31" s="4">
        <v>2</v>
      </c>
      <c r="L31" s="4">
        <v>4</v>
      </c>
      <c r="M31" s="4" t="s">
        <v>148</v>
      </c>
      <c r="N31" s="4" t="s">
        <v>72</v>
      </c>
      <c r="O31" s="4" t="s">
        <v>78</v>
      </c>
      <c r="P31" s="4"/>
      <c r="Q31" s="4" t="s">
        <v>92</v>
      </c>
      <c r="R31" s="4" t="s">
        <v>83</v>
      </c>
      <c r="S31" s="4">
        <v>2</v>
      </c>
      <c r="T31" s="4">
        <v>40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>
        <v>27</v>
      </c>
      <c r="AS31" s="4">
        <v>1</v>
      </c>
      <c r="AT31" s="4"/>
      <c r="AU31" s="4"/>
      <c r="AV31" s="4"/>
      <c r="AW31" s="4"/>
      <c r="AX31" s="4"/>
      <c r="AY31" s="4"/>
      <c r="AZ31" s="4">
        <v>1</v>
      </c>
      <c r="BA31" s="4" t="s">
        <v>84</v>
      </c>
      <c r="BB31" s="4" t="s">
        <v>88</v>
      </c>
      <c r="BC31" s="4">
        <v>3</v>
      </c>
      <c r="BD31" s="4"/>
      <c r="BE31" s="4"/>
      <c r="BF31" s="4">
        <v>0</v>
      </c>
      <c r="BG31" s="4">
        <v>0</v>
      </c>
      <c r="BH31" s="4">
        <v>0</v>
      </c>
      <c r="BI31" s="4"/>
      <c r="BJ31" s="4"/>
      <c r="BK31" s="4"/>
      <c r="BL31" s="4">
        <v>0</v>
      </c>
      <c r="BM31" s="4"/>
      <c r="BN31" s="4"/>
      <c r="BO31" s="4"/>
      <c r="BP31" s="4"/>
      <c r="BQ31" s="4" t="s">
        <v>95</v>
      </c>
      <c r="BR31" s="4" t="s">
        <v>75</v>
      </c>
    </row>
    <row r="32" spans="1:70" ht="19.899999999999999" customHeight="1">
      <c r="A32" s="4">
        <v>63</v>
      </c>
      <c r="B32" s="4"/>
      <c r="C32" s="9">
        <v>45733</v>
      </c>
      <c r="D32" s="4">
        <v>10.039999999999999</v>
      </c>
      <c r="E32" s="4"/>
      <c r="F32" s="4">
        <f t="shared" si="0"/>
        <v>0.38615384615384613</v>
      </c>
      <c r="G32" s="4">
        <v>0</v>
      </c>
      <c r="H32" s="4" t="s">
        <v>80</v>
      </c>
      <c r="I32" s="4">
        <v>0</v>
      </c>
      <c r="J32" s="4">
        <v>1</v>
      </c>
      <c r="K32" s="4"/>
      <c r="L32" s="4">
        <v>4</v>
      </c>
      <c r="M32" s="4" t="s">
        <v>97</v>
      </c>
      <c r="N32" s="4" t="s">
        <v>77</v>
      </c>
      <c r="O32" s="4" t="s">
        <v>82</v>
      </c>
      <c r="P32" s="4"/>
      <c r="Q32" s="4" t="s">
        <v>109</v>
      </c>
      <c r="R32" s="4" t="s">
        <v>73</v>
      </c>
      <c r="S32" s="4">
        <v>1</v>
      </c>
      <c r="T32" s="4">
        <v>40</v>
      </c>
      <c r="U32" s="4"/>
      <c r="V32" s="4"/>
      <c r="W32" s="4"/>
      <c r="X32" s="4">
        <v>3</v>
      </c>
      <c r="Y32" s="4" t="s">
        <v>97</v>
      </c>
      <c r="Z32" s="4" t="s">
        <v>72</v>
      </c>
      <c r="AA32" s="4" t="s">
        <v>87</v>
      </c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>
        <v>26</v>
      </c>
      <c r="AS32" s="4"/>
      <c r="AT32" s="4"/>
      <c r="AU32" s="4"/>
      <c r="AV32" s="4"/>
      <c r="AW32" s="4"/>
      <c r="AX32" s="4"/>
      <c r="AY32" s="4"/>
      <c r="AZ32" s="4">
        <v>1</v>
      </c>
      <c r="BA32" s="4" t="s">
        <v>84</v>
      </c>
      <c r="BB32" s="4" t="s">
        <v>73</v>
      </c>
      <c r="BC32" s="4">
        <v>1</v>
      </c>
      <c r="BD32" s="4">
        <v>2</v>
      </c>
      <c r="BE32" s="4" t="s">
        <v>100</v>
      </c>
      <c r="BF32" s="4">
        <v>0</v>
      </c>
      <c r="BG32" s="4">
        <v>0</v>
      </c>
      <c r="BH32" s="4">
        <v>0</v>
      </c>
      <c r="BI32" s="4"/>
      <c r="BJ32" s="4"/>
      <c r="BK32" s="4"/>
      <c r="BL32" s="4">
        <v>0</v>
      </c>
      <c r="BM32" s="4"/>
      <c r="BN32" s="4"/>
      <c r="BO32" s="4"/>
      <c r="BP32" s="4"/>
      <c r="BQ32" s="4" t="s">
        <v>95</v>
      </c>
      <c r="BR32" s="4" t="s">
        <v>106</v>
      </c>
    </row>
    <row r="33" spans="1:70" ht="19.899999999999999" customHeight="1">
      <c r="A33" s="4">
        <v>75</v>
      </c>
      <c r="B33" s="4"/>
      <c r="C33" s="9">
        <v>45740</v>
      </c>
      <c r="D33" s="4">
        <v>7</v>
      </c>
      <c r="E33" s="4"/>
      <c r="F33" s="4">
        <f t="shared" si="0"/>
        <v>0.16666666666666666</v>
      </c>
      <c r="G33" s="4">
        <v>1</v>
      </c>
      <c r="H33" s="4" t="s">
        <v>129</v>
      </c>
      <c r="I33" s="4">
        <v>0</v>
      </c>
      <c r="J33" s="4">
        <v>1</v>
      </c>
      <c r="K33" s="4"/>
      <c r="L33" s="4">
        <v>4</v>
      </c>
      <c r="M33" s="4" t="s">
        <v>97</v>
      </c>
      <c r="N33" s="4" t="s">
        <v>163</v>
      </c>
      <c r="O33" s="4" t="s">
        <v>78</v>
      </c>
      <c r="P33" s="4"/>
      <c r="Q33" s="4" t="s">
        <v>153</v>
      </c>
      <c r="R33" s="4" t="s">
        <v>83</v>
      </c>
      <c r="S33" s="4">
        <v>2</v>
      </c>
      <c r="T33" s="4">
        <v>100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>
        <v>42</v>
      </c>
      <c r="AS33" s="4"/>
      <c r="AT33" s="4"/>
      <c r="AU33" s="4"/>
      <c r="AV33" s="4"/>
      <c r="AW33" s="4"/>
      <c r="AX33" s="4"/>
      <c r="AY33" s="4"/>
      <c r="AZ33" s="4">
        <v>1</v>
      </c>
      <c r="BA33" s="4" t="s">
        <v>84</v>
      </c>
      <c r="BB33" s="4" t="s">
        <v>83</v>
      </c>
      <c r="BC33" s="4">
        <v>2</v>
      </c>
      <c r="BD33" s="4" t="s">
        <v>142</v>
      </c>
      <c r="BE33" s="4" t="s">
        <v>100</v>
      </c>
      <c r="BF33" s="4">
        <v>0</v>
      </c>
      <c r="BG33" s="4">
        <v>0</v>
      </c>
      <c r="BH33" s="4">
        <v>0</v>
      </c>
      <c r="BI33" s="4"/>
      <c r="BJ33" s="4"/>
      <c r="BK33" s="4"/>
      <c r="BL33" s="4">
        <v>0</v>
      </c>
      <c r="BM33" s="4"/>
      <c r="BN33" s="4"/>
      <c r="BO33" s="4"/>
      <c r="BP33" s="4"/>
      <c r="BQ33" s="4" t="s">
        <v>95</v>
      </c>
      <c r="BR33" s="4" t="s">
        <v>123</v>
      </c>
    </row>
    <row r="34" spans="1:70" ht="19.899999999999999" customHeight="1">
      <c r="A34" s="4">
        <v>60</v>
      </c>
      <c r="B34" s="4"/>
      <c r="C34" s="9">
        <v>45742</v>
      </c>
      <c r="D34" s="4">
        <v>23.83</v>
      </c>
      <c r="E34" s="4"/>
      <c r="F34" s="4">
        <f t="shared" si="0"/>
        <v>0.39716666666666661</v>
      </c>
      <c r="G34" s="4">
        <v>0</v>
      </c>
      <c r="H34" s="4" t="s">
        <v>80</v>
      </c>
      <c r="I34" s="4">
        <v>0</v>
      </c>
      <c r="J34" s="4">
        <v>1</v>
      </c>
      <c r="K34" s="4"/>
      <c r="L34" s="4">
        <v>5</v>
      </c>
      <c r="M34" s="4"/>
      <c r="N34" s="4"/>
      <c r="O34" s="4" t="s">
        <v>112</v>
      </c>
      <c r="P34" s="4"/>
      <c r="Q34" s="4" t="s">
        <v>151</v>
      </c>
      <c r="R34" s="4" t="s">
        <v>83</v>
      </c>
      <c r="S34" s="4">
        <v>2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>
        <v>60</v>
      </c>
      <c r="AS34" s="4">
        <v>1</v>
      </c>
      <c r="AT34" s="4"/>
      <c r="AU34" s="4"/>
      <c r="AV34" s="4"/>
      <c r="AW34" s="4"/>
      <c r="AX34" s="4"/>
      <c r="AY34" s="4"/>
      <c r="AZ34" s="4">
        <v>1</v>
      </c>
      <c r="BA34" s="4" t="s">
        <v>84</v>
      </c>
      <c r="BB34" s="4" t="s">
        <v>73</v>
      </c>
      <c r="BC34" s="4">
        <v>1</v>
      </c>
      <c r="BD34" s="4">
        <v>2</v>
      </c>
      <c r="BE34" s="4">
        <v>0</v>
      </c>
      <c r="BF34" s="4">
        <v>0</v>
      </c>
      <c r="BG34" s="4">
        <v>0</v>
      </c>
      <c r="BH34" s="4">
        <v>0</v>
      </c>
      <c r="BI34" s="4"/>
      <c r="BJ34" s="4"/>
      <c r="BK34" s="4"/>
      <c r="BL34" s="4">
        <v>0</v>
      </c>
      <c r="BM34" s="4"/>
      <c r="BN34" s="4"/>
      <c r="BO34" s="4"/>
      <c r="BP34" s="4"/>
      <c r="BQ34" s="4" t="s">
        <v>125</v>
      </c>
      <c r="BR34" s="4" t="s">
        <v>164</v>
      </c>
    </row>
    <row r="35" spans="1:70" ht="19.899999999999999" customHeight="1">
      <c r="A35" s="4">
        <v>58</v>
      </c>
      <c r="B35" s="4"/>
      <c r="C35" s="9">
        <v>45740</v>
      </c>
      <c r="D35" s="4">
        <v>34</v>
      </c>
      <c r="E35" s="4"/>
      <c r="F35" s="4">
        <f t="shared" si="0"/>
        <v>0.68</v>
      </c>
      <c r="G35" s="4">
        <v>1</v>
      </c>
      <c r="H35" s="4" t="s">
        <v>129</v>
      </c>
      <c r="I35" s="4">
        <v>0</v>
      </c>
      <c r="J35" s="4">
        <v>1</v>
      </c>
      <c r="K35" s="4"/>
      <c r="L35" s="4">
        <v>5</v>
      </c>
      <c r="M35" s="4" t="s">
        <v>141</v>
      </c>
      <c r="N35" s="4" t="s">
        <v>77</v>
      </c>
      <c r="O35" s="4" t="s">
        <v>171</v>
      </c>
      <c r="P35" s="4"/>
      <c r="Q35" s="4" t="s">
        <v>172</v>
      </c>
      <c r="R35" s="4" t="s">
        <v>124</v>
      </c>
      <c r="S35" s="4">
        <v>5</v>
      </c>
      <c r="T35" s="4">
        <v>90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>
        <v>50</v>
      </c>
      <c r="AS35" s="4"/>
      <c r="AT35" s="4"/>
      <c r="AU35" s="4"/>
      <c r="AV35" s="4"/>
      <c r="AW35" s="4"/>
      <c r="AX35" s="4"/>
      <c r="AY35" s="4"/>
      <c r="AZ35" s="4">
        <v>1</v>
      </c>
      <c r="BA35" s="4" t="s">
        <v>84</v>
      </c>
      <c r="BB35" s="4" t="s">
        <v>124</v>
      </c>
      <c r="BC35" s="4">
        <v>5</v>
      </c>
      <c r="BD35" s="4">
        <v>2</v>
      </c>
      <c r="BE35" s="4">
        <v>0</v>
      </c>
      <c r="BF35" s="4" t="s">
        <v>100</v>
      </c>
      <c r="BG35" s="4">
        <v>0</v>
      </c>
      <c r="BH35" s="4">
        <v>0</v>
      </c>
      <c r="BI35" s="4"/>
      <c r="BJ35" s="4"/>
      <c r="BK35" s="4"/>
      <c r="BL35" s="4">
        <v>0</v>
      </c>
      <c r="BM35" s="4"/>
      <c r="BN35" s="4"/>
      <c r="BO35" s="4"/>
      <c r="BP35" s="4"/>
      <c r="BQ35" s="4" t="s">
        <v>125</v>
      </c>
      <c r="BR35" s="4" t="s">
        <v>96</v>
      </c>
    </row>
    <row r="36" spans="1:70" ht="19.899999999999999" customHeight="1">
      <c r="A36" s="13">
        <v>67</v>
      </c>
      <c r="B36" s="13"/>
      <c r="C36" s="14">
        <v>45754</v>
      </c>
      <c r="D36" s="13">
        <v>12.4</v>
      </c>
      <c r="E36" s="13"/>
      <c r="F36" s="13">
        <f t="shared" si="0"/>
        <v>0.35428571428571431</v>
      </c>
      <c r="G36" s="13">
        <v>0</v>
      </c>
      <c r="H36" s="13" t="s">
        <v>80</v>
      </c>
      <c r="I36" s="13"/>
      <c r="J36" s="13">
        <v>1</v>
      </c>
      <c r="K36" s="13">
        <v>2</v>
      </c>
      <c r="L36" s="13">
        <v>3</v>
      </c>
      <c r="M36" s="13"/>
      <c r="N36" s="13"/>
      <c r="O36" s="13"/>
      <c r="P36" s="13"/>
      <c r="Q36" s="13" t="s">
        <v>128</v>
      </c>
      <c r="R36" s="13" t="s">
        <v>73</v>
      </c>
      <c r="S36" s="13">
        <v>1</v>
      </c>
      <c r="T36" s="13">
        <v>30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>
        <v>35</v>
      </c>
      <c r="AS36" s="13"/>
      <c r="AT36" s="13"/>
      <c r="AU36" s="13"/>
      <c r="AV36" s="13"/>
      <c r="AW36" s="13"/>
      <c r="AX36" s="13"/>
      <c r="AY36" s="13"/>
      <c r="AZ36" s="13">
        <v>1</v>
      </c>
      <c r="BA36" s="13" t="s">
        <v>84</v>
      </c>
      <c r="BB36" s="13" t="s">
        <v>73</v>
      </c>
      <c r="BC36" s="13">
        <v>1</v>
      </c>
      <c r="BD36" s="13">
        <v>2</v>
      </c>
      <c r="BE36" s="13" t="s">
        <v>100</v>
      </c>
      <c r="BF36" s="13">
        <v>0</v>
      </c>
      <c r="BG36" s="13">
        <v>1</v>
      </c>
      <c r="BH36" s="13">
        <v>0</v>
      </c>
      <c r="BI36" s="13"/>
      <c r="BJ36" s="13"/>
      <c r="BK36" s="13"/>
      <c r="BL36" s="13">
        <v>0</v>
      </c>
      <c r="BM36" s="13"/>
      <c r="BN36" s="13"/>
      <c r="BO36" s="13"/>
      <c r="BP36" s="13"/>
      <c r="BQ36" s="13" t="s">
        <v>125</v>
      </c>
      <c r="BR36" s="13" t="s">
        <v>75</v>
      </c>
    </row>
    <row r="37" spans="1:70" ht="19.899999999999999" customHeight="1">
      <c r="A37" s="13">
        <v>75</v>
      </c>
      <c r="B37" s="13"/>
      <c r="C37" s="14">
        <v>45754</v>
      </c>
      <c r="D37" s="13">
        <v>8.25</v>
      </c>
      <c r="E37" s="13"/>
      <c r="F37" s="13">
        <f t="shared" si="0"/>
        <v>0.12692307692307692</v>
      </c>
      <c r="G37" s="13">
        <v>0</v>
      </c>
      <c r="H37" s="13" t="s">
        <v>80</v>
      </c>
      <c r="I37" s="13"/>
      <c r="J37" s="13">
        <v>1</v>
      </c>
      <c r="K37" s="13"/>
      <c r="L37" s="13">
        <v>4</v>
      </c>
      <c r="M37" s="13"/>
      <c r="N37" s="13"/>
      <c r="O37" s="13" t="s">
        <v>169</v>
      </c>
      <c r="P37" s="13"/>
      <c r="Q37" s="13" t="s">
        <v>137</v>
      </c>
      <c r="R37" s="13" t="s">
        <v>73</v>
      </c>
      <c r="S37" s="13">
        <v>1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 t="s">
        <v>170</v>
      </c>
      <c r="AR37" s="13">
        <v>65</v>
      </c>
      <c r="AS37" s="13"/>
      <c r="AT37" s="13"/>
      <c r="AU37" s="13"/>
      <c r="AV37" s="13"/>
      <c r="AW37" s="13"/>
      <c r="AX37" s="13"/>
      <c r="AY37" s="13"/>
      <c r="AZ37" s="13">
        <v>1</v>
      </c>
      <c r="BA37" s="13" t="s">
        <v>84</v>
      </c>
      <c r="BB37" s="13" t="s">
        <v>83</v>
      </c>
      <c r="BC37" s="13">
        <v>2</v>
      </c>
      <c r="BD37" s="13">
        <v>2</v>
      </c>
      <c r="BE37" s="13" t="s">
        <v>100</v>
      </c>
      <c r="BF37" s="13">
        <v>0</v>
      </c>
      <c r="BG37" s="13">
        <v>1</v>
      </c>
      <c r="BH37" s="13">
        <v>1</v>
      </c>
      <c r="BI37" s="13"/>
      <c r="BJ37" s="13"/>
      <c r="BK37" s="13" t="s">
        <v>94</v>
      </c>
      <c r="BL37" s="13">
        <v>0</v>
      </c>
      <c r="BM37" s="13"/>
      <c r="BN37" s="13"/>
      <c r="BO37" s="13"/>
      <c r="BP37" s="13"/>
      <c r="BQ37" s="13" t="s">
        <v>95</v>
      </c>
      <c r="BR37" s="13" t="s">
        <v>106</v>
      </c>
    </row>
    <row r="38" spans="1:70" ht="19.899999999999999" customHeight="1">
      <c r="A38" s="13">
        <v>63</v>
      </c>
      <c r="B38" s="13"/>
      <c r="C38" s="14">
        <v>45762</v>
      </c>
      <c r="D38" s="13">
        <v>10.4</v>
      </c>
      <c r="E38" s="13"/>
      <c r="F38" s="13">
        <f t="shared" si="0"/>
        <v>0.23266219239373601</v>
      </c>
      <c r="G38" s="13">
        <v>1</v>
      </c>
      <c r="H38" s="13" t="s">
        <v>129</v>
      </c>
      <c r="I38" s="13">
        <v>0</v>
      </c>
      <c r="J38" s="13">
        <v>1</v>
      </c>
      <c r="K38" s="13"/>
      <c r="L38" s="13"/>
      <c r="M38" s="13" t="s">
        <v>97</v>
      </c>
      <c r="N38" s="13" t="s">
        <v>72</v>
      </c>
      <c r="O38" s="13"/>
      <c r="P38" s="13"/>
      <c r="Q38" s="13" t="s">
        <v>155</v>
      </c>
      <c r="R38" s="13" t="s">
        <v>73</v>
      </c>
      <c r="S38" s="13">
        <v>1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>
        <v>44.7</v>
      </c>
      <c r="AS38" s="13">
        <v>1</v>
      </c>
      <c r="AT38" s="13"/>
      <c r="AU38" s="13"/>
      <c r="AV38" s="13"/>
      <c r="AW38" s="13"/>
      <c r="AX38" s="13"/>
      <c r="AY38" s="13"/>
      <c r="AZ38" s="13">
        <v>1</v>
      </c>
      <c r="BA38" s="13" t="s">
        <v>84</v>
      </c>
      <c r="BB38" s="13" t="s">
        <v>73</v>
      </c>
      <c r="BC38" s="13">
        <v>1</v>
      </c>
      <c r="BD38" s="13" t="s">
        <v>142</v>
      </c>
      <c r="BE38" s="13" t="s">
        <v>100</v>
      </c>
      <c r="BF38" s="13">
        <v>0</v>
      </c>
      <c r="BG38" s="13">
        <v>1</v>
      </c>
      <c r="BH38" s="13"/>
      <c r="BI38" s="13"/>
      <c r="BJ38" s="13"/>
      <c r="BK38" s="13"/>
      <c r="BL38" s="13">
        <v>0</v>
      </c>
      <c r="BM38" s="13"/>
      <c r="BN38" s="13"/>
      <c r="BO38" s="13"/>
      <c r="BP38" s="13"/>
      <c r="BQ38" s="13" t="s">
        <v>95</v>
      </c>
      <c r="BR38" s="13" t="s">
        <v>123</v>
      </c>
    </row>
    <row r="39" spans="1:70" ht="19.899999999999999" customHeight="1">
      <c r="A39" s="4">
        <v>64</v>
      </c>
      <c r="B39" s="4"/>
      <c r="C39" s="9">
        <v>45775</v>
      </c>
      <c r="D39" s="4">
        <v>8.8000000000000007</v>
      </c>
      <c r="E39" s="4"/>
      <c r="F39" s="4">
        <f t="shared" si="0"/>
        <v>0.33898305084745767</v>
      </c>
      <c r="G39" s="4">
        <v>1</v>
      </c>
      <c r="H39" s="4" t="s">
        <v>129</v>
      </c>
      <c r="I39" s="4">
        <v>0</v>
      </c>
      <c r="J39" s="4">
        <v>1</v>
      </c>
      <c r="K39" s="4"/>
      <c r="L39" s="4">
        <v>5</v>
      </c>
      <c r="M39" s="4" t="s">
        <v>105</v>
      </c>
      <c r="N39" s="4" t="s">
        <v>72</v>
      </c>
      <c r="O39" s="4" t="s">
        <v>150</v>
      </c>
      <c r="P39" s="4"/>
      <c r="Q39" s="4" t="s">
        <v>110</v>
      </c>
      <c r="R39" s="4" t="s">
        <v>73</v>
      </c>
      <c r="S39" s="4">
        <v>1</v>
      </c>
      <c r="T39" s="4">
        <v>10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>
        <v>25.96</v>
      </c>
      <c r="AS39" s="4"/>
      <c r="AT39" s="4"/>
      <c r="AU39" s="4"/>
      <c r="AV39" s="4"/>
      <c r="AW39" s="4"/>
      <c r="AX39" s="4"/>
      <c r="AY39" s="4"/>
      <c r="AZ39" s="4">
        <v>1</v>
      </c>
      <c r="BA39" s="4" t="s">
        <v>84</v>
      </c>
      <c r="BB39" s="4" t="s">
        <v>88</v>
      </c>
      <c r="BC39" s="4">
        <v>3</v>
      </c>
      <c r="BD39" s="4" t="s">
        <v>93</v>
      </c>
      <c r="BE39" s="4" t="s">
        <v>100</v>
      </c>
      <c r="BF39" s="4">
        <v>0</v>
      </c>
      <c r="BG39" s="4">
        <v>0</v>
      </c>
      <c r="BH39" s="4">
        <v>1</v>
      </c>
      <c r="BI39" s="4"/>
      <c r="BJ39" s="4"/>
      <c r="BK39" s="4" t="s">
        <v>94</v>
      </c>
      <c r="BL39" s="4">
        <v>0</v>
      </c>
      <c r="BM39" s="4"/>
      <c r="BN39" s="4"/>
      <c r="BO39" s="4"/>
      <c r="BP39" s="4"/>
      <c r="BQ39" s="4" t="s">
        <v>125</v>
      </c>
      <c r="BR39" s="4" t="s">
        <v>168</v>
      </c>
    </row>
    <row r="40" spans="1:70" ht="19.899999999999999" customHeight="1">
      <c r="A40" s="4">
        <v>71</v>
      </c>
      <c r="B40" s="4"/>
      <c r="C40" s="9">
        <v>45770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>
        <v>1</v>
      </c>
      <c r="BA40" s="4" t="s">
        <v>84</v>
      </c>
      <c r="BB40" s="4" t="s">
        <v>83</v>
      </c>
      <c r="BC40" s="4">
        <v>2</v>
      </c>
      <c r="BD40" s="4">
        <v>2</v>
      </c>
      <c r="BE40" s="4" t="s">
        <v>100</v>
      </c>
      <c r="BF40" s="4" t="s">
        <v>100</v>
      </c>
      <c r="BG40" s="4">
        <v>0</v>
      </c>
      <c r="BH40" s="4">
        <v>0</v>
      </c>
      <c r="BI40" s="4"/>
      <c r="BJ40" s="4"/>
      <c r="BK40" s="4"/>
      <c r="BL40" s="4">
        <v>0</v>
      </c>
      <c r="BM40" s="4"/>
      <c r="BN40" s="4"/>
      <c r="BO40" s="4"/>
      <c r="BP40" s="4"/>
      <c r="BQ40" s="4" t="s">
        <v>125</v>
      </c>
      <c r="BR40" s="4" t="s">
        <v>96</v>
      </c>
    </row>
    <row r="41" spans="1:70" ht="19.899999999999999" customHeight="1">
      <c r="A41" s="13">
        <v>70</v>
      </c>
      <c r="B41" s="13"/>
      <c r="C41" s="14">
        <v>45777</v>
      </c>
      <c r="D41" s="13"/>
      <c r="E41" s="13"/>
      <c r="F41" s="13"/>
      <c r="G41" s="13">
        <v>0</v>
      </c>
      <c r="H41" s="13" t="s">
        <v>80</v>
      </c>
      <c r="I41" s="13">
        <v>0</v>
      </c>
      <c r="J41" s="13">
        <v>1</v>
      </c>
      <c r="K41" s="13"/>
      <c r="L41" s="13">
        <v>5</v>
      </c>
      <c r="M41" s="13" t="s">
        <v>105</v>
      </c>
      <c r="N41" s="13" t="s">
        <v>77</v>
      </c>
      <c r="O41" s="13" t="s">
        <v>91</v>
      </c>
      <c r="P41" s="13"/>
      <c r="Q41" s="13" t="s">
        <v>167</v>
      </c>
      <c r="R41" s="13" t="s">
        <v>83</v>
      </c>
      <c r="S41" s="13">
        <v>2</v>
      </c>
      <c r="T41" s="13">
        <v>40</v>
      </c>
      <c r="U41" s="13"/>
      <c r="V41" s="13"/>
      <c r="W41" s="13"/>
      <c r="X41" s="13">
        <v>4</v>
      </c>
      <c r="Y41" s="13" t="s">
        <v>97</v>
      </c>
      <c r="Z41" s="13" t="s">
        <v>77</v>
      </c>
      <c r="AA41" s="13" t="s">
        <v>160</v>
      </c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>
        <v>53.8</v>
      </c>
      <c r="AS41" s="13">
        <v>0</v>
      </c>
      <c r="AT41" s="13" t="s">
        <v>161</v>
      </c>
      <c r="AU41" s="13"/>
      <c r="AV41" s="13"/>
      <c r="AW41" s="13"/>
      <c r="AX41" s="13"/>
      <c r="AY41" s="13"/>
      <c r="AZ41" s="13">
        <v>1</v>
      </c>
      <c r="BA41" s="13" t="s">
        <v>84</v>
      </c>
      <c r="BB41" s="13" t="s">
        <v>83</v>
      </c>
      <c r="BC41" s="13">
        <v>2</v>
      </c>
      <c r="BD41" s="13" t="s">
        <v>142</v>
      </c>
      <c r="BE41" s="13">
        <v>0</v>
      </c>
      <c r="BF41" s="13">
        <v>0</v>
      </c>
      <c r="BG41" s="13" t="s">
        <v>147</v>
      </c>
      <c r="BH41" s="13">
        <v>0</v>
      </c>
      <c r="BI41" s="13"/>
      <c r="BJ41" s="13"/>
      <c r="BK41" s="13"/>
      <c r="BL41" s="13">
        <v>0</v>
      </c>
      <c r="BM41" s="13"/>
      <c r="BN41" s="13"/>
      <c r="BO41" s="13"/>
      <c r="BP41" s="13"/>
      <c r="BQ41" s="13" t="s">
        <v>125</v>
      </c>
      <c r="BR41" s="13" t="s">
        <v>106</v>
      </c>
    </row>
    <row r="42" spans="1:70" ht="19.899999999999999" customHeight="1">
      <c r="A42" s="13">
        <v>63</v>
      </c>
      <c r="B42" s="13"/>
      <c r="C42" s="14">
        <v>45777</v>
      </c>
      <c r="D42" s="13">
        <v>8.0399999999999991</v>
      </c>
      <c r="E42" s="13"/>
      <c r="F42" s="13">
        <f t="shared" si="0"/>
        <v>0.1546153846153846</v>
      </c>
      <c r="G42" s="13">
        <v>1</v>
      </c>
      <c r="H42" s="13" t="s">
        <v>165</v>
      </c>
      <c r="I42" s="13">
        <v>0</v>
      </c>
      <c r="J42" s="13">
        <v>1</v>
      </c>
      <c r="K42" s="13"/>
      <c r="L42" s="13">
        <v>5</v>
      </c>
      <c r="M42" s="13" t="s">
        <v>133</v>
      </c>
      <c r="N42" s="13" t="s">
        <v>77</v>
      </c>
      <c r="O42" s="13" t="s">
        <v>111</v>
      </c>
      <c r="P42" s="13"/>
      <c r="Q42" s="13" t="s">
        <v>166</v>
      </c>
      <c r="R42" s="13" t="s">
        <v>83</v>
      </c>
      <c r="S42" s="13">
        <v>2</v>
      </c>
      <c r="T42" s="13">
        <v>50</v>
      </c>
      <c r="U42" s="13"/>
      <c r="V42" s="13"/>
      <c r="W42" s="13"/>
      <c r="X42" s="13"/>
      <c r="Y42" s="13"/>
      <c r="Z42" s="13" t="s">
        <v>72</v>
      </c>
      <c r="AA42" s="13" t="s">
        <v>82</v>
      </c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>
        <v>52</v>
      </c>
      <c r="AS42" s="13">
        <v>0</v>
      </c>
      <c r="AT42" s="13" t="s">
        <v>161</v>
      </c>
      <c r="AU42" s="13"/>
      <c r="AV42" s="13"/>
      <c r="AW42" s="13"/>
      <c r="AX42" s="13"/>
      <c r="AY42" s="13"/>
      <c r="AZ42" s="13">
        <v>1</v>
      </c>
      <c r="BA42" s="13" t="s">
        <v>84</v>
      </c>
      <c r="BB42" s="13" t="s">
        <v>88</v>
      </c>
      <c r="BC42" s="13">
        <v>3</v>
      </c>
      <c r="BD42" s="13" t="s">
        <v>135</v>
      </c>
      <c r="BE42" s="13">
        <v>1</v>
      </c>
      <c r="BF42" s="13">
        <v>0</v>
      </c>
      <c r="BG42" s="13">
        <v>1</v>
      </c>
      <c r="BH42" s="13">
        <v>1</v>
      </c>
      <c r="BI42" s="13"/>
      <c r="BJ42" s="13"/>
      <c r="BK42" s="13" t="s">
        <v>94</v>
      </c>
      <c r="BL42" s="13">
        <v>1</v>
      </c>
      <c r="BM42" s="13" t="s">
        <v>76</v>
      </c>
      <c r="BN42" s="13" t="s">
        <v>94</v>
      </c>
      <c r="BO42" s="13" t="s">
        <v>76</v>
      </c>
      <c r="BP42" s="13"/>
      <c r="BQ42" s="13" t="s">
        <v>95</v>
      </c>
      <c r="BR42" s="13" t="s">
        <v>106</v>
      </c>
    </row>
    <row r="43" spans="1:70" ht="19.899999999999999" customHeight="1">
      <c r="A43" s="4">
        <v>64</v>
      </c>
      <c r="B43" s="4"/>
      <c r="C43" s="9">
        <v>45783</v>
      </c>
      <c r="D43" s="4">
        <v>13.56</v>
      </c>
      <c r="E43" s="4"/>
      <c r="F43" s="4">
        <f t="shared" si="0"/>
        <v>0.32285714285714284</v>
      </c>
      <c r="G43" s="4">
        <v>0</v>
      </c>
      <c r="H43" s="4" t="s">
        <v>80</v>
      </c>
      <c r="I43" s="4">
        <v>0</v>
      </c>
      <c r="J43" s="4">
        <v>1</v>
      </c>
      <c r="K43" s="4">
        <v>0</v>
      </c>
      <c r="L43" s="4">
        <v>4</v>
      </c>
      <c r="M43" s="4" t="s">
        <v>105</v>
      </c>
      <c r="N43" s="4" t="s">
        <v>72</v>
      </c>
      <c r="O43" s="4" t="s">
        <v>111</v>
      </c>
      <c r="P43" s="4"/>
      <c r="Q43" s="4" t="s">
        <v>138</v>
      </c>
      <c r="R43" s="4" t="s">
        <v>73</v>
      </c>
      <c r="S43" s="4">
        <v>1</v>
      </c>
      <c r="T43" s="4">
        <v>10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>
        <v>42</v>
      </c>
      <c r="AS43" s="4">
        <v>1</v>
      </c>
      <c r="AT43" s="4"/>
      <c r="AU43" s="4"/>
      <c r="AV43" s="4"/>
      <c r="AW43" s="4"/>
      <c r="AX43" s="4"/>
      <c r="AY43" s="4"/>
      <c r="AZ43" s="4">
        <v>1</v>
      </c>
      <c r="BA43" s="4" t="s">
        <v>84</v>
      </c>
      <c r="BB43" s="4" t="s">
        <v>83</v>
      </c>
      <c r="BC43" s="4">
        <v>2</v>
      </c>
      <c r="BD43" s="4" t="s">
        <v>142</v>
      </c>
      <c r="BE43" s="4">
        <v>0</v>
      </c>
      <c r="BF43" s="4">
        <v>0</v>
      </c>
      <c r="BG43" s="4">
        <v>0</v>
      </c>
      <c r="BH43" s="4">
        <v>0</v>
      </c>
      <c r="BI43" s="4"/>
      <c r="BJ43" s="4"/>
      <c r="BK43" s="4"/>
      <c r="BL43" s="4">
        <v>0</v>
      </c>
      <c r="BM43" s="4"/>
      <c r="BN43" s="4"/>
      <c r="BO43" s="4"/>
      <c r="BP43" s="4"/>
      <c r="BQ43" s="4" t="s">
        <v>95</v>
      </c>
      <c r="BR43" s="4" t="s">
        <v>123</v>
      </c>
    </row>
    <row r="44" spans="1:70" ht="19.899999999999999" customHeight="1">
      <c r="A44" s="13">
        <v>59</v>
      </c>
      <c r="B44" s="13"/>
      <c r="C44" s="14">
        <v>45784</v>
      </c>
      <c r="D44" s="13">
        <v>7.69</v>
      </c>
      <c r="E44" s="13"/>
      <c r="F44" s="13"/>
      <c r="G44" s="13">
        <v>0</v>
      </c>
      <c r="H44" s="13" t="s">
        <v>80</v>
      </c>
      <c r="I44" s="13">
        <v>0</v>
      </c>
      <c r="J44" s="13">
        <v>1</v>
      </c>
      <c r="K44" s="13"/>
      <c r="L44" s="13"/>
      <c r="M44" s="13"/>
      <c r="N44" s="13"/>
      <c r="O44" s="13"/>
      <c r="P44" s="13"/>
      <c r="Q44" s="13"/>
      <c r="R44" s="13" t="s">
        <v>73</v>
      </c>
      <c r="S44" s="13">
        <v>1</v>
      </c>
      <c r="T44" s="13">
        <v>5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>
        <v>1</v>
      </c>
      <c r="BA44" s="13" t="s">
        <v>84</v>
      </c>
      <c r="BB44" s="13" t="s">
        <v>73</v>
      </c>
      <c r="BC44" s="13">
        <v>1</v>
      </c>
      <c r="BD44" s="13" t="s">
        <v>93</v>
      </c>
      <c r="BE44" s="13">
        <v>0</v>
      </c>
      <c r="BF44" s="13" t="s">
        <v>100</v>
      </c>
      <c r="BG44" s="13">
        <v>1</v>
      </c>
      <c r="BH44" s="13">
        <v>1</v>
      </c>
      <c r="BI44" s="13" t="s">
        <v>76</v>
      </c>
      <c r="BJ44" s="13" t="s">
        <v>94</v>
      </c>
      <c r="BK44" s="13" t="s">
        <v>76</v>
      </c>
      <c r="BL44" s="13">
        <v>0</v>
      </c>
      <c r="BM44" s="13"/>
      <c r="BN44" s="13"/>
      <c r="BO44" s="13"/>
      <c r="BP44" s="13"/>
      <c r="BQ44" s="13" t="s">
        <v>125</v>
      </c>
      <c r="BR44" s="13" t="s">
        <v>96</v>
      </c>
    </row>
    <row r="45" spans="1:70" ht="19.899999999999999" customHeight="1">
      <c r="A45" s="4">
        <v>75</v>
      </c>
      <c r="B45" s="4"/>
      <c r="C45" s="9">
        <v>45783</v>
      </c>
      <c r="D45" s="4">
        <v>6.12</v>
      </c>
      <c r="E45" s="4"/>
      <c r="F45" s="4"/>
      <c r="G45" s="4">
        <v>0</v>
      </c>
      <c r="H45" s="4" t="s">
        <v>80</v>
      </c>
      <c r="I45" s="4">
        <v>0</v>
      </c>
      <c r="J45" s="4">
        <v>1</v>
      </c>
      <c r="K45" s="4">
        <v>3</v>
      </c>
      <c r="L45" s="4" t="s">
        <v>143</v>
      </c>
      <c r="M45" s="4"/>
      <c r="N45" s="4"/>
      <c r="O45" s="4"/>
      <c r="P45" s="4"/>
      <c r="Q45" s="4"/>
      <c r="R45" s="4" t="s">
        <v>83</v>
      </c>
      <c r="S45" s="4">
        <v>2</v>
      </c>
      <c r="T45" s="4">
        <v>70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 t="s">
        <v>143</v>
      </c>
      <c r="AT45" s="4"/>
      <c r="AU45" s="4"/>
      <c r="AV45" s="4"/>
      <c r="AW45" s="4"/>
      <c r="AX45" s="4"/>
      <c r="AY45" s="4"/>
      <c r="AZ45" s="4">
        <v>1</v>
      </c>
      <c r="BA45" s="4" t="s">
        <v>84</v>
      </c>
      <c r="BB45" s="4" t="s">
        <v>83</v>
      </c>
      <c r="BC45" s="4">
        <v>2</v>
      </c>
      <c r="BD45" s="4" t="s">
        <v>142</v>
      </c>
      <c r="BE45" s="4" t="s">
        <v>100</v>
      </c>
      <c r="BF45" s="4">
        <v>0</v>
      </c>
      <c r="BG45" s="4">
        <v>0</v>
      </c>
      <c r="BH45" s="4">
        <v>0</v>
      </c>
      <c r="BI45" s="4"/>
      <c r="BJ45" s="4"/>
      <c r="BK45" s="4"/>
      <c r="BL45" s="4">
        <v>0</v>
      </c>
      <c r="BM45" s="4"/>
      <c r="BN45" s="4"/>
      <c r="BO45" s="4"/>
      <c r="BP45" s="4"/>
      <c r="BQ45" s="4" t="s">
        <v>95</v>
      </c>
      <c r="BR45" s="4" t="s">
        <v>123</v>
      </c>
    </row>
    <row r="46" spans="1:70" ht="19.899999999999999" customHeight="1">
      <c r="A46" s="4">
        <v>64</v>
      </c>
      <c r="B46" s="4"/>
      <c r="C46" s="9">
        <v>45797</v>
      </c>
      <c r="D46" s="4">
        <v>9</v>
      </c>
      <c r="E46" s="4"/>
      <c r="F46" s="4">
        <f t="shared" si="0"/>
        <v>0.24324324324324326</v>
      </c>
      <c r="G46" s="4">
        <v>1</v>
      </c>
      <c r="H46" s="4" t="s">
        <v>129</v>
      </c>
      <c r="I46" s="4"/>
      <c r="J46" s="4">
        <v>1</v>
      </c>
      <c r="K46" s="4"/>
      <c r="L46" s="4">
        <v>4</v>
      </c>
      <c r="M46" s="4"/>
      <c r="N46" s="4"/>
      <c r="O46" s="4" t="s">
        <v>91</v>
      </c>
      <c r="P46" s="4"/>
      <c r="Q46" s="4" t="s">
        <v>138</v>
      </c>
      <c r="R46" s="4" t="s">
        <v>73</v>
      </c>
      <c r="S46" s="4">
        <v>1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>
        <v>37</v>
      </c>
      <c r="AS46" s="4"/>
      <c r="AT46" s="4"/>
      <c r="AU46" s="4"/>
      <c r="AV46" s="4"/>
      <c r="AW46" s="4"/>
      <c r="AX46" s="4"/>
      <c r="AY46" s="4"/>
      <c r="AZ46" s="4">
        <v>1</v>
      </c>
      <c r="BA46" s="4" t="s">
        <v>84</v>
      </c>
      <c r="BB46" s="4" t="s">
        <v>73</v>
      </c>
      <c r="BC46" s="4">
        <v>1</v>
      </c>
      <c r="BD46" s="4">
        <v>2</v>
      </c>
      <c r="BE46" s="4" t="s">
        <v>100</v>
      </c>
      <c r="BF46" s="4">
        <v>0</v>
      </c>
      <c r="BG46" s="4">
        <v>0</v>
      </c>
      <c r="BH46" s="4">
        <v>0</v>
      </c>
      <c r="BI46" s="4"/>
      <c r="BJ46" s="4"/>
      <c r="BK46" s="4"/>
      <c r="BL46" s="4">
        <v>0</v>
      </c>
      <c r="BM46" s="4"/>
      <c r="BN46" s="4"/>
      <c r="BO46" s="4"/>
      <c r="BP46" s="4"/>
      <c r="BQ46" s="4" t="s">
        <v>95</v>
      </c>
      <c r="BR46" s="4" t="s">
        <v>164</v>
      </c>
    </row>
    <row r="47" spans="1:70" ht="19.899999999999999" customHeight="1">
      <c r="A47" s="13">
        <v>40</v>
      </c>
      <c r="B47" s="13"/>
      <c r="C47" s="14">
        <v>45798</v>
      </c>
      <c r="D47" s="13">
        <v>6</v>
      </c>
      <c r="E47" s="13"/>
      <c r="F47" s="13">
        <f t="shared" si="0"/>
        <v>0.25</v>
      </c>
      <c r="G47" s="13">
        <v>0</v>
      </c>
      <c r="H47" s="13" t="s">
        <v>80</v>
      </c>
      <c r="I47" s="13">
        <v>0</v>
      </c>
      <c r="J47" s="13">
        <v>1</v>
      </c>
      <c r="K47" s="13">
        <v>2</v>
      </c>
      <c r="L47" s="13">
        <v>4</v>
      </c>
      <c r="M47" s="13" t="s">
        <v>97</v>
      </c>
      <c r="N47" s="13" t="s">
        <v>163</v>
      </c>
      <c r="O47" s="13" t="s">
        <v>112</v>
      </c>
      <c r="P47" s="13"/>
      <c r="Q47" s="13" t="s">
        <v>128</v>
      </c>
      <c r="R47" s="13" t="s">
        <v>73</v>
      </c>
      <c r="S47" s="13">
        <v>1</v>
      </c>
      <c r="T47" s="13">
        <v>13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>
        <v>24</v>
      </c>
      <c r="AS47" s="13"/>
      <c r="AT47" s="13"/>
      <c r="AU47" s="13"/>
      <c r="AV47" s="13"/>
      <c r="AW47" s="13"/>
      <c r="AX47" s="13"/>
      <c r="AY47" s="13"/>
      <c r="AZ47" s="13">
        <v>1</v>
      </c>
      <c r="BA47" s="13" t="s">
        <v>84</v>
      </c>
      <c r="BB47" s="13" t="s">
        <v>73</v>
      </c>
      <c r="BC47" s="13">
        <v>1</v>
      </c>
      <c r="BD47" s="13">
        <v>2</v>
      </c>
      <c r="BE47" s="13">
        <v>0</v>
      </c>
      <c r="BF47" s="13" t="s">
        <v>100</v>
      </c>
      <c r="BG47" s="13">
        <v>1</v>
      </c>
      <c r="BH47" s="13">
        <v>0</v>
      </c>
      <c r="BI47" s="13"/>
      <c r="BJ47" s="13"/>
      <c r="BK47" s="13"/>
      <c r="BL47" s="13">
        <v>0</v>
      </c>
      <c r="BM47" s="13"/>
      <c r="BN47" s="13"/>
      <c r="BO47" s="13"/>
      <c r="BP47" s="13"/>
      <c r="BQ47" s="13" t="s">
        <v>125</v>
      </c>
      <c r="BR47" s="13" t="s">
        <v>75</v>
      </c>
    </row>
    <row r="48" spans="1:70" ht="19.899999999999999" customHeight="1">
      <c r="A48" s="4">
        <v>62</v>
      </c>
      <c r="B48" s="4"/>
      <c r="C48" s="9">
        <v>45807</v>
      </c>
      <c r="D48" s="4"/>
      <c r="E48" s="4"/>
      <c r="F48" s="4"/>
      <c r="G48" s="4">
        <v>1</v>
      </c>
      <c r="H48" s="4" t="s">
        <v>80</v>
      </c>
      <c r="I48" s="4">
        <v>0</v>
      </c>
      <c r="J48" s="4">
        <v>1</v>
      </c>
      <c r="K48" s="4"/>
      <c r="L48" s="4">
        <v>3</v>
      </c>
      <c r="M48" s="4"/>
      <c r="N48" s="4" t="s">
        <v>72</v>
      </c>
      <c r="O48" s="4" t="s">
        <v>78</v>
      </c>
      <c r="P48" s="4"/>
      <c r="Q48" s="4" t="s">
        <v>158</v>
      </c>
      <c r="R48" s="4" t="s">
        <v>73</v>
      </c>
      <c r="S48" s="4">
        <v>1</v>
      </c>
      <c r="T48" s="4">
        <v>21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>
        <v>60</v>
      </c>
      <c r="AS48" s="4"/>
      <c r="AT48" s="4"/>
      <c r="AU48" s="4"/>
      <c r="AV48" s="4"/>
      <c r="AW48" s="4"/>
      <c r="AX48" s="4"/>
      <c r="AY48" s="4"/>
      <c r="AZ48" s="4">
        <v>1</v>
      </c>
      <c r="BA48" s="4" t="s">
        <v>84</v>
      </c>
      <c r="BB48" s="4" t="s">
        <v>73</v>
      </c>
      <c r="BC48" s="4">
        <v>1</v>
      </c>
      <c r="BD48" s="4" t="s">
        <v>93</v>
      </c>
      <c r="BE48" s="4" t="s">
        <v>100</v>
      </c>
      <c r="BF48" s="4">
        <v>0</v>
      </c>
      <c r="BG48" s="4">
        <v>0</v>
      </c>
      <c r="BH48" s="4">
        <v>1</v>
      </c>
      <c r="BI48" s="4" t="s">
        <v>94</v>
      </c>
      <c r="BJ48" s="4" t="s">
        <v>76</v>
      </c>
      <c r="BK48" s="4" t="s">
        <v>76</v>
      </c>
      <c r="BL48" s="4">
        <v>0</v>
      </c>
      <c r="BM48" s="4"/>
      <c r="BN48" s="4"/>
      <c r="BO48" s="4"/>
      <c r="BP48" s="4"/>
      <c r="BQ48" s="4" t="s">
        <v>95</v>
      </c>
      <c r="BR48" s="4" t="s">
        <v>75</v>
      </c>
    </row>
    <row r="49" spans="1:70" ht="19.899999999999999" customHeight="1">
      <c r="A49" s="13">
        <v>64</v>
      </c>
      <c r="B49" s="13"/>
      <c r="C49" s="14">
        <v>45805</v>
      </c>
      <c r="D49" s="13">
        <v>10.01</v>
      </c>
      <c r="E49" s="13"/>
      <c r="F49" s="13">
        <f t="shared" si="0"/>
        <v>0.25024999999999997</v>
      </c>
      <c r="G49" s="13">
        <v>0</v>
      </c>
      <c r="H49" s="13" t="s">
        <v>80</v>
      </c>
      <c r="I49" s="13">
        <v>0</v>
      </c>
      <c r="J49" s="13">
        <v>1</v>
      </c>
      <c r="K49" s="13">
        <v>2</v>
      </c>
      <c r="L49" s="13">
        <v>4</v>
      </c>
      <c r="M49" s="13" t="s">
        <v>97</v>
      </c>
      <c r="N49" s="13" t="s">
        <v>77</v>
      </c>
      <c r="O49" s="13" t="s">
        <v>87</v>
      </c>
      <c r="P49" s="13"/>
      <c r="Q49" s="13" t="s">
        <v>138</v>
      </c>
      <c r="R49" s="13" t="s">
        <v>73</v>
      </c>
      <c r="S49" s="13">
        <v>1</v>
      </c>
      <c r="T49" s="13"/>
      <c r="U49" s="13"/>
      <c r="V49" s="13"/>
      <c r="W49" s="13"/>
      <c r="X49" s="13">
        <v>4</v>
      </c>
      <c r="Y49" s="13" t="s">
        <v>105</v>
      </c>
      <c r="Z49" s="13" t="s">
        <v>77</v>
      </c>
      <c r="AA49" s="13" t="s">
        <v>91</v>
      </c>
      <c r="AB49" s="13"/>
      <c r="AC49" s="13" t="s">
        <v>73</v>
      </c>
      <c r="AD49" s="13">
        <v>1</v>
      </c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>
        <v>40</v>
      </c>
      <c r="AS49" s="13">
        <v>1</v>
      </c>
      <c r="AT49" s="13"/>
      <c r="AU49" s="13"/>
      <c r="AV49" s="13"/>
      <c r="AW49" s="13"/>
      <c r="AX49" s="13"/>
      <c r="AY49" s="13"/>
      <c r="AZ49" s="13">
        <v>1</v>
      </c>
      <c r="BA49" s="13" t="s">
        <v>84</v>
      </c>
      <c r="BB49" s="13" t="s">
        <v>83</v>
      </c>
      <c r="BC49" s="13">
        <v>2</v>
      </c>
      <c r="BD49" s="13" t="s">
        <v>142</v>
      </c>
      <c r="BE49" s="13" t="s">
        <v>100</v>
      </c>
      <c r="BF49" s="13">
        <v>0</v>
      </c>
      <c r="BG49" s="13">
        <v>1</v>
      </c>
      <c r="BH49" s="13"/>
      <c r="BI49" s="13"/>
      <c r="BJ49" s="13"/>
      <c r="BK49" s="13"/>
      <c r="BL49" s="13">
        <v>0</v>
      </c>
      <c r="BM49" s="13"/>
      <c r="BN49" s="13"/>
      <c r="BO49" s="13"/>
      <c r="BP49" s="13"/>
      <c r="BQ49" s="13" t="s">
        <v>125</v>
      </c>
      <c r="BR49" s="13" t="s">
        <v>123</v>
      </c>
    </row>
    <row r="50" spans="1:70" ht="19.899999999999999" customHeight="1">
      <c r="A50" s="13">
        <v>62</v>
      </c>
      <c r="B50" s="13"/>
      <c r="C50" s="14">
        <v>45810</v>
      </c>
      <c r="D50" s="13">
        <v>11</v>
      </c>
      <c r="E50" s="13"/>
      <c r="F50" s="13">
        <f t="shared" si="0"/>
        <v>0.5641025641025641</v>
      </c>
      <c r="G50" s="13">
        <v>1</v>
      </c>
      <c r="H50" s="13" t="s">
        <v>129</v>
      </c>
      <c r="I50" s="13"/>
      <c r="J50" s="13">
        <v>1</v>
      </c>
      <c r="K50" s="13"/>
      <c r="L50" s="13">
        <v>3</v>
      </c>
      <c r="M50" s="13" t="s">
        <v>162</v>
      </c>
      <c r="N50" s="13" t="s">
        <v>72</v>
      </c>
      <c r="O50" s="13" t="s">
        <v>116</v>
      </c>
      <c r="P50" s="13"/>
      <c r="Q50" s="13" t="s">
        <v>114</v>
      </c>
      <c r="R50" s="13" t="s">
        <v>73</v>
      </c>
      <c r="S50" s="13">
        <v>1</v>
      </c>
      <c r="T50" s="13">
        <v>42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>
        <v>19.5</v>
      </c>
      <c r="AS50" s="13"/>
      <c r="AT50" s="13"/>
      <c r="AU50" s="13"/>
      <c r="AV50" s="13"/>
      <c r="AW50" s="13"/>
      <c r="AX50" s="13"/>
      <c r="AY50" s="13"/>
      <c r="AZ50" s="13">
        <v>1</v>
      </c>
      <c r="BA50" s="13" t="s">
        <v>84</v>
      </c>
      <c r="BB50" s="13" t="s">
        <v>73</v>
      </c>
      <c r="BC50" s="13">
        <v>1</v>
      </c>
      <c r="BD50" s="13">
        <v>2</v>
      </c>
      <c r="BE50" s="13" t="s">
        <v>100</v>
      </c>
      <c r="BF50" s="13" t="s">
        <v>100</v>
      </c>
      <c r="BG50" s="13">
        <v>1</v>
      </c>
      <c r="BH50" s="13">
        <v>0</v>
      </c>
      <c r="BI50" s="13"/>
      <c r="BJ50" s="13"/>
      <c r="BK50" s="13"/>
      <c r="BL50" s="13">
        <v>0</v>
      </c>
      <c r="BM50" s="13"/>
      <c r="BN50" s="13"/>
      <c r="BO50" s="13"/>
      <c r="BP50" s="13"/>
      <c r="BQ50" s="13" t="s">
        <v>95</v>
      </c>
      <c r="BR50" s="13" t="s">
        <v>96</v>
      </c>
    </row>
    <row r="51" spans="1:70" ht="19.899999999999999" customHeight="1">
      <c r="A51" s="13">
        <v>72</v>
      </c>
      <c r="B51" s="13"/>
      <c r="C51" s="14">
        <v>45817</v>
      </c>
      <c r="D51" s="13">
        <v>17</v>
      </c>
      <c r="E51" s="13"/>
      <c r="F51" s="13">
        <f t="shared" si="0"/>
        <v>0.24709302325581398</v>
      </c>
      <c r="G51" s="13">
        <v>0</v>
      </c>
      <c r="H51" s="13" t="s">
        <v>80</v>
      </c>
      <c r="I51" s="13">
        <v>0</v>
      </c>
      <c r="J51" s="13">
        <v>1</v>
      </c>
      <c r="K51" s="13"/>
      <c r="L51" s="13">
        <v>5</v>
      </c>
      <c r="M51" s="13" t="s">
        <v>97</v>
      </c>
      <c r="N51" s="13" t="s">
        <v>72</v>
      </c>
      <c r="O51" s="13" t="s">
        <v>112</v>
      </c>
      <c r="P51" s="13"/>
      <c r="Q51" s="13" t="s">
        <v>121</v>
      </c>
      <c r="R51" s="13" t="s">
        <v>83</v>
      </c>
      <c r="S51" s="13">
        <v>2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>
        <v>68.8</v>
      </c>
      <c r="AS51" s="13"/>
      <c r="AT51" s="13"/>
      <c r="AU51" s="13"/>
      <c r="AV51" s="13"/>
      <c r="AW51" s="13"/>
      <c r="AX51" s="13"/>
      <c r="AY51" s="13"/>
      <c r="AZ51" s="13">
        <v>1</v>
      </c>
      <c r="BA51" s="13" t="s">
        <v>84</v>
      </c>
      <c r="BB51" s="13" t="s">
        <v>73</v>
      </c>
      <c r="BC51" s="13">
        <v>1</v>
      </c>
      <c r="BD51" s="13">
        <v>2</v>
      </c>
      <c r="BE51" s="13" t="s">
        <v>100</v>
      </c>
      <c r="BF51" s="13">
        <v>0</v>
      </c>
      <c r="BG51" s="13">
        <v>1</v>
      </c>
      <c r="BH51" s="13">
        <v>1</v>
      </c>
      <c r="BI51" s="13" t="s">
        <v>94</v>
      </c>
      <c r="BJ51" s="13" t="s">
        <v>76</v>
      </c>
      <c r="BK51" s="13" t="s">
        <v>76</v>
      </c>
      <c r="BL51" s="13">
        <v>0</v>
      </c>
      <c r="BM51" s="13"/>
      <c r="BN51" s="13"/>
      <c r="BO51" s="13"/>
      <c r="BP51" s="13"/>
      <c r="BQ51" s="13" t="s">
        <v>125</v>
      </c>
      <c r="BR51" s="13" t="s">
        <v>106</v>
      </c>
    </row>
    <row r="52" spans="1:70" ht="19.899999999999999" customHeight="1">
      <c r="A52" s="13">
        <v>72</v>
      </c>
      <c r="B52" s="13"/>
      <c r="C52" s="14">
        <v>45833</v>
      </c>
      <c r="D52" s="13">
        <v>4.08</v>
      </c>
      <c r="E52" s="13"/>
      <c r="F52" s="13">
        <f t="shared" si="0"/>
        <v>7.2987477638640427E-2</v>
      </c>
      <c r="G52" s="13">
        <v>1</v>
      </c>
      <c r="H52" s="13" t="s">
        <v>129</v>
      </c>
      <c r="I52" s="13">
        <v>0</v>
      </c>
      <c r="J52" s="13">
        <v>1</v>
      </c>
      <c r="K52" s="13"/>
      <c r="L52" s="13">
        <v>5</v>
      </c>
      <c r="M52" s="13" t="s">
        <v>81</v>
      </c>
      <c r="N52" s="13" t="s">
        <v>72</v>
      </c>
      <c r="O52" s="13" t="s">
        <v>78</v>
      </c>
      <c r="P52" s="13"/>
      <c r="Q52" s="13" t="s">
        <v>137</v>
      </c>
      <c r="R52" s="13" t="s">
        <v>83</v>
      </c>
      <c r="S52" s="13">
        <v>2</v>
      </c>
      <c r="T52" s="13">
        <v>100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>
        <v>55.9</v>
      </c>
      <c r="AS52" s="13">
        <v>1</v>
      </c>
      <c r="AT52" s="13"/>
      <c r="AU52" s="13"/>
      <c r="AV52" s="13"/>
      <c r="AW52" s="13"/>
      <c r="AX52" s="13"/>
      <c r="AY52" s="13"/>
      <c r="AZ52" s="13">
        <v>1</v>
      </c>
      <c r="BA52" s="13" t="s">
        <v>84</v>
      </c>
      <c r="BB52" s="13" t="s">
        <v>83</v>
      </c>
      <c r="BC52" s="13">
        <v>2</v>
      </c>
      <c r="BD52" s="13" t="s">
        <v>93</v>
      </c>
      <c r="BE52" s="13" t="s">
        <v>100</v>
      </c>
      <c r="BF52" s="13">
        <v>0</v>
      </c>
      <c r="BG52" s="13">
        <v>1</v>
      </c>
      <c r="BH52" s="13">
        <v>1</v>
      </c>
      <c r="BI52" s="13" t="s">
        <v>94</v>
      </c>
      <c r="BJ52" s="13" t="s">
        <v>76</v>
      </c>
      <c r="BK52" s="13" t="s">
        <v>76</v>
      </c>
      <c r="BL52" s="13">
        <v>0</v>
      </c>
      <c r="BM52" s="13"/>
      <c r="BN52" s="13"/>
      <c r="BO52" s="13"/>
      <c r="BP52" s="13"/>
      <c r="BQ52" s="13" t="s">
        <v>125</v>
      </c>
      <c r="BR52" s="13" t="s">
        <v>106</v>
      </c>
    </row>
    <row r="53" spans="1:70" ht="19.899999999999999" customHeight="1">
      <c r="A53" s="13">
        <v>55</v>
      </c>
      <c r="B53" s="13"/>
      <c r="C53" s="14">
        <v>45819</v>
      </c>
      <c r="D53" s="13">
        <v>7.49</v>
      </c>
      <c r="E53" s="13"/>
      <c r="F53" s="13">
        <f t="shared" si="0"/>
        <v>0.16644444444444445</v>
      </c>
      <c r="G53" s="13">
        <v>1</v>
      </c>
      <c r="H53" s="13" t="s">
        <v>86</v>
      </c>
      <c r="I53" s="13">
        <v>0</v>
      </c>
      <c r="J53" s="13">
        <v>1</v>
      </c>
      <c r="K53" s="13"/>
      <c r="L53" s="13">
        <v>4</v>
      </c>
      <c r="M53" s="13" t="s">
        <v>162</v>
      </c>
      <c r="N53" s="13"/>
      <c r="O53" s="13" t="s">
        <v>78</v>
      </c>
      <c r="P53" s="13"/>
      <c r="Q53" s="13"/>
      <c r="R53" s="13" t="s">
        <v>83</v>
      </c>
      <c r="S53" s="13">
        <v>2</v>
      </c>
      <c r="T53" s="13">
        <v>80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>
        <v>45</v>
      </c>
      <c r="AS53" s="13"/>
      <c r="AT53" s="13"/>
      <c r="AU53" s="13"/>
      <c r="AV53" s="13"/>
      <c r="AW53" s="13"/>
      <c r="AX53" s="13"/>
      <c r="AY53" s="13"/>
      <c r="AZ53" s="13">
        <v>1</v>
      </c>
      <c r="BA53" s="13" t="s">
        <v>84</v>
      </c>
      <c r="BB53" s="13" t="s">
        <v>83</v>
      </c>
      <c r="BC53" s="13">
        <v>2</v>
      </c>
      <c r="BD53" s="13" t="s">
        <v>135</v>
      </c>
      <c r="BE53" s="13">
        <v>0</v>
      </c>
      <c r="BF53" s="13" t="s">
        <v>100</v>
      </c>
      <c r="BG53" s="13">
        <v>1</v>
      </c>
      <c r="BH53" s="13">
        <v>1</v>
      </c>
      <c r="BI53" s="13" t="s">
        <v>76</v>
      </c>
      <c r="BJ53" s="13" t="s">
        <v>94</v>
      </c>
      <c r="BK53" s="13" t="s">
        <v>76</v>
      </c>
      <c r="BL53" s="13">
        <v>1</v>
      </c>
      <c r="BM53" s="13" t="s">
        <v>94</v>
      </c>
      <c r="BN53" s="13" t="s">
        <v>76</v>
      </c>
      <c r="BO53" s="13" t="s">
        <v>76</v>
      </c>
      <c r="BP53" s="13"/>
      <c r="BQ53" s="13" t="s">
        <v>125</v>
      </c>
      <c r="BR53" s="13" t="s">
        <v>96</v>
      </c>
    </row>
    <row r="54" spans="1:70" ht="19.899999999999999" customHeight="1">
      <c r="A54" s="13">
        <v>58</v>
      </c>
      <c r="B54" s="13"/>
      <c r="C54" s="14">
        <v>45831</v>
      </c>
      <c r="D54" s="13">
        <v>12</v>
      </c>
      <c r="E54" s="13"/>
      <c r="F54" s="13">
        <f t="shared" si="0"/>
        <v>0.48</v>
      </c>
      <c r="G54" s="13">
        <v>1</v>
      </c>
      <c r="H54" s="13" t="s">
        <v>129</v>
      </c>
      <c r="I54" s="13">
        <v>1</v>
      </c>
      <c r="J54" s="13">
        <v>1</v>
      </c>
      <c r="K54" s="13">
        <v>3</v>
      </c>
      <c r="L54" s="13">
        <v>5</v>
      </c>
      <c r="M54" s="13"/>
      <c r="N54" s="13" t="s">
        <v>77</v>
      </c>
      <c r="O54" s="13" t="s">
        <v>160</v>
      </c>
      <c r="P54" s="13"/>
      <c r="Q54" s="13" t="s">
        <v>121</v>
      </c>
      <c r="R54" s="13" t="s">
        <v>83</v>
      </c>
      <c r="S54" s="13">
        <v>2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>
        <v>25</v>
      </c>
      <c r="AS54" s="13">
        <v>0</v>
      </c>
      <c r="AT54" s="13" t="s">
        <v>161</v>
      </c>
      <c r="AU54" s="13"/>
      <c r="AV54" s="13"/>
      <c r="AW54" s="13"/>
      <c r="AX54" s="13"/>
      <c r="AY54" s="13"/>
      <c r="AZ54" s="13">
        <v>1</v>
      </c>
      <c r="BA54" s="13" t="s">
        <v>84</v>
      </c>
      <c r="BB54" s="13" t="s">
        <v>124</v>
      </c>
      <c r="BC54" s="13">
        <v>5</v>
      </c>
      <c r="BD54" s="13" t="s">
        <v>135</v>
      </c>
      <c r="BE54" s="13">
        <v>0</v>
      </c>
      <c r="BF54" s="13" t="s">
        <v>100</v>
      </c>
      <c r="BG54" s="13" t="s">
        <v>147</v>
      </c>
      <c r="BH54" s="13">
        <v>1</v>
      </c>
      <c r="BI54" s="13"/>
      <c r="BJ54" s="13"/>
      <c r="BK54" s="13" t="s">
        <v>94</v>
      </c>
      <c r="BL54" s="13">
        <v>0</v>
      </c>
      <c r="BM54" s="13"/>
      <c r="BN54" s="13"/>
      <c r="BO54" s="13"/>
      <c r="BP54" s="13"/>
      <c r="BQ54" s="13" t="s">
        <v>95</v>
      </c>
      <c r="BR54" s="13" t="s">
        <v>145</v>
      </c>
    </row>
    <row r="55" spans="1:70" ht="19.899999999999999" customHeight="1">
      <c r="A55" s="4">
        <v>73</v>
      </c>
      <c r="B55" s="4"/>
      <c r="C55" s="9">
        <v>45833</v>
      </c>
      <c r="D55" s="4">
        <v>4.5</v>
      </c>
      <c r="E55" s="4"/>
      <c r="F55" s="4">
        <f t="shared" si="0"/>
        <v>0.22500000000000001</v>
      </c>
      <c r="G55" s="4">
        <v>1</v>
      </c>
      <c r="H55" s="4" t="s">
        <v>129</v>
      </c>
      <c r="I55" s="4"/>
      <c r="J55" s="4">
        <v>1</v>
      </c>
      <c r="K55" s="4"/>
      <c r="L55" s="4"/>
      <c r="M55" s="4"/>
      <c r="N55" s="4"/>
      <c r="O55" s="4"/>
      <c r="P55" s="4"/>
      <c r="Q55" s="4"/>
      <c r="R55" s="4" t="s">
        <v>73</v>
      </c>
      <c r="S55" s="4">
        <v>1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>
        <v>20</v>
      </c>
      <c r="AS55" s="4"/>
      <c r="AT55" s="4"/>
      <c r="AU55" s="4"/>
      <c r="AV55" s="4"/>
      <c r="AW55" s="4"/>
      <c r="AX55" s="4"/>
      <c r="AY55" s="4"/>
      <c r="AZ55" s="4">
        <v>1</v>
      </c>
      <c r="BA55" s="4" t="s">
        <v>84</v>
      </c>
      <c r="BB55" s="4" t="s">
        <v>73</v>
      </c>
      <c r="BC55" s="4">
        <v>1</v>
      </c>
      <c r="BD55" s="4">
        <v>2</v>
      </c>
      <c r="BE55" s="4">
        <v>0</v>
      </c>
      <c r="BF55" s="4">
        <v>0</v>
      </c>
      <c r="BG55" s="4">
        <v>0</v>
      </c>
      <c r="BH55" s="4">
        <v>0</v>
      </c>
      <c r="BI55" s="4"/>
      <c r="BJ55" s="4"/>
      <c r="BK55" s="4"/>
      <c r="BL55" s="4">
        <v>0</v>
      </c>
      <c r="BM55" s="4"/>
      <c r="BN55" s="4"/>
      <c r="BO55" s="4"/>
      <c r="BP55" s="4"/>
      <c r="BQ55" s="4"/>
      <c r="BR55" s="4" t="s">
        <v>96</v>
      </c>
    </row>
    <row r="56" spans="1:70" ht="19.899999999999999" customHeight="1">
      <c r="A56" s="4">
        <v>75</v>
      </c>
      <c r="B56" s="4"/>
      <c r="C56" s="9">
        <v>45833</v>
      </c>
      <c r="D56" s="4">
        <v>9.42</v>
      </c>
      <c r="E56" s="4"/>
      <c r="F56" s="4">
        <f t="shared" si="0"/>
        <v>0.314</v>
      </c>
      <c r="G56" s="4">
        <v>0</v>
      </c>
      <c r="H56" s="4" t="s">
        <v>80</v>
      </c>
      <c r="I56" s="4">
        <v>0</v>
      </c>
      <c r="J56" s="4">
        <v>1</v>
      </c>
      <c r="K56" s="4"/>
      <c r="L56" s="4">
        <v>5</v>
      </c>
      <c r="M56" s="4"/>
      <c r="N56" s="4" t="s">
        <v>77</v>
      </c>
      <c r="O56" s="4" t="s">
        <v>78</v>
      </c>
      <c r="P56" s="4"/>
      <c r="Q56" s="4" t="s">
        <v>159</v>
      </c>
      <c r="R56" s="4" t="s">
        <v>73</v>
      </c>
      <c r="S56" s="4">
        <v>1</v>
      </c>
      <c r="T56" s="4"/>
      <c r="U56" s="4"/>
      <c r="V56" s="4"/>
      <c r="W56" s="4"/>
      <c r="X56" s="4">
        <v>4</v>
      </c>
      <c r="Y56" s="4"/>
      <c r="Z56" s="4" t="s">
        <v>72</v>
      </c>
      <c r="AA56" s="4" t="s">
        <v>78</v>
      </c>
      <c r="AB56" s="4"/>
      <c r="AC56" s="4" t="s">
        <v>73</v>
      </c>
      <c r="AD56" s="4">
        <v>1</v>
      </c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>
        <v>30</v>
      </c>
      <c r="AS56" s="4"/>
      <c r="AT56" s="4"/>
      <c r="AU56" s="4"/>
      <c r="AV56" s="4"/>
      <c r="AW56" s="4"/>
      <c r="AX56" s="4"/>
      <c r="AY56" s="4"/>
      <c r="AZ56" s="4">
        <v>1</v>
      </c>
      <c r="BA56" s="4" t="s">
        <v>84</v>
      </c>
      <c r="BB56" s="4" t="s">
        <v>73</v>
      </c>
      <c r="BC56" s="4">
        <v>1</v>
      </c>
      <c r="BD56" s="4" t="s">
        <v>142</v>
      </c>
      <c r="BE56" s="4" t="s">
        <v>100</v>
      </c>
      <c r="BF56" s="4">
        <v>0</v>
      </c>
      <c r="BG56" s="4">
        <v>0</v>
      </c>
      <c r="BH56" s="4">
        <v>0</v>
      </c>
      <c r="BI56" s="4"/>
      <c r="BJ56" s="4"/>
      <c r="BK56" s="4"/>
      <c r="BL56" s="4">
        <v>0</v>
      </c>
      <c r="BM56" s="4"/>
      <c r="BN56" s="4"/>
      <c r="BO56" s="4"/>
      <c r="BP56" s="4"/>
      <c r="BQ56" s="4" t="s">
        <v>125</v>
      </c>
      <c r="BR56" s="4" t="s">
        <v>123</v>
      </c>
    </row>
    <row r="57" spans="1:70" ht="19.899999999999999" customHeight="1">
      <c r="A57" s="4">
        <v>70</v>
      </c>
      <c r="B57" s="4"/>
      <c r="C57" s="9">
        <v>45852</v>
      </c>
      <c r="D57" s="4">
        <v>8.4700000000000006</v>
      </c>
      <c r="E57" s="4"/>
      <c r="F57" s="4">
        <f t="shared" si="0"/>
        <v>0.24200000000000002</v>
      </c>
      <c r="G57" s="4">
        <v>0</v>
      </c>
      <c r="H57" s="4" t="s">
        <v>80</v>
      </c>
      <c r="I57" s="4">
        <v>0</v>
      </c>
      <c r="J57" s="4">
        <v>1</v>
      </c>
      <c r="K57" s="4"/>
      <c r="L57" s="4">
        <v>5</v>
      </c>
      <c r="M57" s="4"/>
      <c r="N57" s="4" t="s">
        <v>77</v>
      </c>
      <c r="O57" s="4" t="s">
        <v>78</v>
      </c>
      <c r="P57" s="4"/>
      <c r="Q57" s="4" t="s">
        <v>158</v>
      </c>
      <c r="R57" s="4" t="s">
        <v>83</v>
      </c>
      <c r="S57" s="4">
        <v>2</v>
      </c>
      <c r="T57" s="4">
        <v>70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>
        <v>35</v>
      </c>
      <c r="AS57" s="4"/>
      <c r="AT57" s="4"/>
      <c r="AU57" s="4"/>
      <c r="AV57" s="4"/>
      <c r="AW57" s="4"/>
      <c r="AX57" s="4"/>
      <c r="AY57" s="4"/>
      <c r="AZ57" s="4">
        <v>1</v>
      </c>
      <c r="BA57" s="4" t="s">
        <v>84</v>
      </c>
      <c r="BB57" s="4" t="s">
        <v>83</v>
      </c>
      <c r="BC57" s="4">
        <v>2</v>
      </c>
      <c r="BD57" s="4" t="s">
        <v>93</v>
      </c>
      <c r="BE57" s="4" t="s">
        <v>100</v>
      </c>
      <c r="BF57" s="4">
        <v>0</v>
      </c>
      <c r="BG57" s="4">
        <v>0</v>
      </c>
      <c r="BH57" s="4">
        <v>1</v>
      </c>
      <c r="BI57" s="4" t="s">
        <v>76</v>
      </c>
      <c r="BJ57" s="4" t="s">
        <v>94</v>
      </c>
      <c r="BK57" s="4" t="s">
        <v>76</v>
      </c>
      <c r="BL57" s="4">
        <v>0</v>
      </c>
      <c r="BM57" s="4"/>
      <c r="BN57" s="4"/>
      <c r="BO57" s="4"/>
      <c r="BP57" s="4"/>
      <c r="BQ57" s="4" t="s">
        <v>125</v>
      </c>
      <c r="BR57" s="4" t="s">
        <v>75</v>
      </c>
    </row>
    <row r="58" spans="1:70" ht="19.899999999999999" customHeight="1">
      <c r="A58" s="13">
        <v>55</v>
      </c>
      <c r="B58" s="13"/>
      <c r="C58" s="14">
        <v>45854</v>
      </c>
      <c r="D58" s="13">
        <v>12</v>
      </c>
      <c r="E58" s="13"/>
      <c r="F58" s="13">
        <f t="shared" si="0"/>
        <v>0.29197080291970801</v>
      </c>
      <c r="G58" s="13">
        <v>1</v>
      </c>
      <c r="H58" s="13" t="s">
        <v>86</v>
      </c>
      <c r="I58" s="13">
        <v>0</v>
      </c>
      <c r="J58" s="13">
        <v>1</v>
      </c>
      <c r="K58" s="13">
        <v>3</v>
      </c>
      <c r="L58" s="13">
        <v>5</v>
      </c>
      <c r="M58" s="13" t="s">
        <v>148</v>
      </c>
      <c r="N58" s="13" t="s">
        <v>72</v>
      </c>
      <c r="O58" s="13" t="s">
        <v>150</v>
      </c>
      <c r="P58" s="13"/>
      <c r="Q58" s="13" t="s">
        <v>157</v>
      </c>
      <c r="R58" s="13" t="s">
        <v>73</v>
      </c>
      <c r="S58" s="13">
        <v>1</v>
      </c>
      <c r="T58" s="13">
        <v>80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>
        <v>41.1</v>
      </c>
      <c r="AS58" s="13">
        <v>0</v>
      </c>
      <c r="AT58" s="13"/>
      <c r="AU58" s="13"/>
      <c r="AV58" s="13"/>
      <c r="AW58" s="13"/>
      <c r="AX58" s="13"/>
      <c r="AY58" s="13"/>
      <c r="AZ58" s="13">
        <v>1</v>
      </c>
      <c r="BA58" s="13" t="s">
        <v>84</v>
      </c>
      <c r="BB58" s="13" t="s">
        <v>73</v>
      </c>
      <c r="BC58" s="13">
        <v>1</v>
      </c>
      <c r="BD58" s="13" t="s">
        <v>93</v>
      </c>
      <c r="BE58" s="13" t="s">
        <v>100</v>
      </c>
      <c r="BF58" s="13">
        <v>0</v>
      </c>
      <c r="BG58" s="13" t="s">
        <v>147</v>
      </c>
      <c r="BH58" s="13">
        <v>1</v>
      </c>
      <c r="BI58" s="13"/>
      <c r="BJ58" s="13"/>
      <c r="BK58" s="13" t="s">
        <v>94</v>
      </c>
      <c r="BL58" s="13">
        <v>0</v>
      </c>
      <c r="BM58" s="13"/>
      <c r="BN58" s="13"/>
      <c r="BO58" s="13"/>
      <c r="BP58" s="13"/>
      <c r="BQ58" s="13" t="s">
        <v>95</v>
      </c>
      <c r="BR58" s="13" t="s">
        <v>106</v>
      </c>
    </row>
    <row r="59" spans="1:70" ht="19.899999999999999" customHeight="1">
      <c r="A59" s="4">
        <v>77</v>
      </c>
      <c r="B59" s="4"/>
      <c r="C59" s="9">
        <v>45854</v>
      </c>
      <c r="D59" s="4">
        <v>9.48</v>
      </c>
      <c r="E59" s="4"/>
      <c r="F59" s="4">
        <f t="shared" si="0"/>
        <v>8.9857819905213271E-2</v>
      </c>
      <c r="G59" s="4"/>
      <c r="H59" s="4"/>
      <c r="I59" s="4">
        <v>0</v>
      </c>
      <c r="J59" s="4">
        <v>1</v>
      </c>
      <c r="K59" s="4"/>
      <c r="L59" s="4">
        <v>5</v>
      </c>
      <c r="M59" s="4" t="s">
        <v>105</v>
      </c>
      <c r="N59" s="4" t="s">
        <v>77</v>
      </c>
      <c r="O59" s="4" t="s">
        <v>87</v>
      </c>
      <c r="P59" s="4"/>
      <c r="Q59" s="4" t="s">
        <v>110</v>
      </c>
      <c r="R59" s="4" t="s">
        <v>88</v>
      </c>
      <c r="S59" s="4">
        <v>3</v>
      </c>
      <c r="T59" s="4">
        <v>70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>
        <v>105.5</v>
      </c>
      <c r="AS59" s="4">
        <v>1</v>
      </c>
      <c r="AT59" s="4"/>
      <c r="AU59" s="4"/>
      <c r="AV59" s="4"/>
      <c r="AW59" s="4"/>
      <c r="AX59" s="4"/>
      <c r="AY59" s="4"/>
      <c r="AZ59" s="4">
        <v>1</v>
      </c>
      <c r="BA59" s="4" t="s">
        <v>84</v>
      </c>
      <c r="BB59" s="4" t="s">
        <v>88</v>
      </c>
      <c r="BC59" s="4">
        <v>3</v>
      </c>
      <c r="BD59" s="4" t="s">
        <v>142</v>
      </c>
      <c r="BE59" s="4" t="s">
        <v>100</v>
      </c>
      <c r="BF59" s="4">
        <v>0</v>
      </c>
      <c r="BG59" s="4">
        <v>0</v>
      </c>
      <c r="BH59" s="4">
        <v>0</v>
      </c>
      <c r="BI59" s="4"/>
      <c r="BJ59" s="4"/>
      <c r="BK59" s="4"/>
      <c r="BL59" s="4">
        <v>0</v>
      </c>
      <c r="BM59" s="4"/>
      <c r="BN59" s="4"/>
      <c r="BO59" s="4"/>
      <c r="BP59" s="4"/>
      <c r="BQ59" s="4" t="s">
        <v>125</v>
      </c>
      <c r="BR59" s="4" t="s">
        <v>123</v>
      </c>
    </row>
    <row r="60" spans="1:70" ht="19.899999999999999" customHeight="1">
      <c r="A60" s="4">
        <v>75</v>
      </c>
      <c r="B60" s="4"/>
      <c r="C60" s="9">
        <v>45859</v>
      </c>
      <c r="D60" s="4">
        <v>5.0999999999999996</v>
      </c>
      <c r="E60" s="4"/>
      <c r="F60" s="4">
        <f t="shared" si="0"/>
        <v>9.4444444444444442E-2</v>
      </c>
      <c r="G60" s="4">
        <v>0</v>
      </c>
      <c r="H60" s="4" t="s">
        <v>80</v>
      </c>
      <c r="I60" s="4">
        <v>0</v>
      </c>
      <c r="J60" s="4">
        <v>1</v>
      </c>
      <c r="K60" s="4"/>
      <c r="L60" s="4">
        <v>4</v>
      </c>
      <c r="M60" s="4"/>
      <c r="N60" s="4"/>
      <c r="O60" s="4" t="s">
        <v>78</v>
      </c>
      <c r="P60" s="4"/>
      <c r="Q60" s="4" t="s">
        <v>153</v>
      </c>
      <c r="R60" s="4" t="s">
        <v>88</v>
      </c>
      <c r="S60" s="4">
        <v>3</v>
      </c>
      <c r="T60" s="4">
        <v>50</v>
      </c>
      <c r="U60" s="4"/>
      <c r="V60" s="4"/>
      <c r="W60" s="4"/>
      <c r="X60" s="4">
        <v>3</v>
      </c>
      <c r="Y60" s="4"/>
      <c r="Z60" s="4"/>
      <c r="AA60" s="4" t="s">
        <v>156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>
        <v>54</v>
      </c>
      <c r="AS60" s="4">
        <v>1</v>
      </c>
      <c r="AT60" s="4"/>
      <c r="AU60" s="4"/>
      <c r="AV60" s="4"/>
      <c r="AW60" s="4"/>
      <c r="AX60" s="4"/>
      <c r="AY60" s="4"/>
      <c r="AZ60" s="4">
        <v>1</v>
      </c>
      <c r="BA60" s="4" t="s">
        <v>84</v>
      </c>
      <c r="BB60" s="4" t="s">
        <v>83</v>
      </c>
      <c r="BC60" s="4">
        <v>2</v>
      </c>
      <c r="BD60" s="4" t="s">
        <v>93</v>
      </c>
      <c r="BE60" s="4">
        <v>0</v>
      </c>
      <c r="BF60" s="4">
        <v>0</v>
      </c>
      <c r="BG60" s="4">
        <v>0</v>
      </c>
      <c r="BH60" s="4">
        <v>1</v>
      </c>
      <c r="BI60" s="4" t="s">
        <v>76</v>
      </c>
      <c r="BJ60" s="4" t="s">
        <v>94</v>
      </c>
      <c r="BK60" s="4" t="s">
        <v>76</v>
      </c>
      <c r="BL60" s="4">
        <v>0</v>
      </c>
      <c r="BM60" s="4"/>
      <c r="BN60" s="4"/>
      <c r="BO60" s="4"/>
      <c r="BP60" s="4"/>
      <c r="BQ60" s="4" t="s">
        <v>95</v>
      </c>
      <c r="BR60" s="4" t="s">
        <v>123</v>
      </c>
    </row>
    <row r="61" spans="1:70" ht="19.899999999999999" customHeight="1">
      <c r="A61" s="4">
        <v>74</v>
      </c>
      <c r="B61" s="4"/>
      <c r="C61" s="9">
        <v>45861</v>
      </c>
      <c r="D61" s="4">
        <v>6.4</v>
      </c>
      <c r="E61" s="4"/>
      <c r="F61" s="4">
        <f t="shared" si="0"/>
        <v>0.12307692307692308</v>
      </c>
      <c r="G61" s="4">
        <v>0</v>
      </c>
      <c r="H61" s="4" t="s">
        <v>80</v>
      </c>
      <c r="I61" s="4">
        <v>0</v>
      </c>
      <c r="J61" s="4">
        <v>1</v>
      </c>
      <c r="K61" s="4"/>
      <c r="L61" s="4">
        <v>4</v>
      </c>
      <c r="M61" s="4" t="s">
        <v>81</v>
      </c>
      <c r="N61" s="4" t="s">
        <v>72</v>
      </c>
      <c r="O61" s="4" t="s">
        <v>91</v>
      </c>
      <c r="P61" s="4"/>
      <c r="Q61" s="4" t="s">
        <v>154</v>
      </c>
      <c r="R61" s="4" t="s">
        <v>73</v>
      </c>
      <c r="S61" s="4">
        <v>1</v>
      </c>
      <c r="T61" s="4">
        <v>50</v>
      </c>
      <c r="U61" s="4"/>
      <c r="V61" s="4"/>
      <c r="W61" s="4"/>
      <c r="X61" s="4">
        <v>3</v>
      </c>
      <c r="Y61" s="4" t="s">
        <v>81</v>
      </c>
      <c r="Z61" s="4" t="s">
        <v>72</v>
      </c>
      <c r="AA61" s="4" t="s">
        <v>82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>
        <v>52</v>
      </c>
      <c r="AS61" s="4">
        <v>1</v>
      </c>
      <c r="AT61" s="4"/>
      <c r="AU61" s="4"/>
      <c r="AV61" s="4"/>
      <c r="AW61" s="4"/>
      <c r="AX61" s="4"/>
      <c r="AY61" s="4"/>
      <c r="AZ61" s="4">
        <v>1</v>
      </c>
      <c r="BA61" s="4" t="s">
        <v>84</v>
      </c>
      <c r="BB61" s="4" t="s">
        <v>83</v>
      </c>
      <c r="BC61" s="4">
        <v>2</v>
      </c>
      <c r="BD61" s="4">
        <v>2</v>
      </c>
      <c r="BE61" s="4" t="s">
        <v>100</v>
      </c>
      <c r="BF61" s="4">
        <v>0</v>
      </c>
      <c r="BG61" s="4">
        <v>0</v>
      </c>
      <c r="BH61" s="4">
        <v>0</v>
      </c>
      <c r="BI61" s="4"/>
      <c r="BJ61" s="4"/>
      <c r="BK61" s="4"/>
      <c r="BL61" s="4">
        <v>0</v>
      </c>
      <c r="BM61" s="4"/>
      <c r="BN61" s="4"/>
      <c r="BO61" s="4"/>
      <c r="BP61" s="4"/>
      <c r="BQ61" s="4" t="s">
        <v>95</v>
      </c>
      <c r="BR61" s="4" t="s">
        <v>75</v>
      </c>
    </row>
    <row r="62" spans="1:70" ht="19.899999999999999" customHeight="1">
      <c r="A62" s="13">
        <v>72</v>
      </c>
      <c r="B62" s="13"/>
      <c r="C62" s="14">
        <v>45861</v>
      </c>
      <c r="D62" s="13">
        <v>12</v>
      </c>
      <c r="E62" s="13"/>
      <c r="F62" s="13">
        <f t="shared" si="0"/>
        <v>0.30534351145038169</v>
      </c>
      <c r="G62" s="13">
        <v>1</v>
      </c>
      <c r="H62" s="13" t="s">
        <v>129</v>
      </c>
      <c r="I62" s="13">
        <v>0</v>
      </c>
      <c r="J62" s="13">
        <v>1</v>
      </c>
      <c r="K62" s="13"/>
      <c r="L62" s="13">
        <v>4</v>
      </c>
      <c r="M62" s="13" t="s">
        <v>97</v>
      </c>
      <c r="N62" s="13" t="s">
        <v>72</v>
      </c>
      <c r="O62" s="13" t="s">
        <v>146</v>
      </c>
      <c r="P62" s="13"/>
      <c r="Q62" s="13" t="s">
        <v>155</v>
      </c>
      <c r="R62" s="13" t="s">
        <v>83</v>
      </c>
      <c r="S62" s="13">
        <v>2</v>
      </c>
      <c r="T62" s="13">
        <v>100</v>
      </c>
      <c r="U62" s="13"/>
      <c r="V62" s="13"/>
      <c r="W62" s="13"/>
      <c r="X62" s="13">
        <v>4</v>
      </c>
      <c r="Y62" s="13" t="s">
        <v>97</v>
      </c>
      <c r="Z62" s="13" t="s">
        <v>72</v>
      </c>
      <c r="AA62" s="13" t="s">
        <v>150</v>
      </c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>
        <v>39.299999999999997</v>
      </c>
      <c r="AS62" s="13">
        <v>1</v>
      </c>
      <c r="AT62" s="13"/>
      <c r="AU62" s="13"/>
      <c r="AV62" s="13"/>
      <c r="AW62" s="13"/>
      <c r="AX62" s="13"/>
      <c r="AY62" s="13"/>
      <c r="AZ62" s="13">
        <v>1</v>
      </c>
      <c r="BA62" s="13" t="s">
        <v>84</v>
      </c>
      <c r="BB62" s="13" t="s">
        <v>152</v>
      </c>
      <c r="BC62" s="13">
        <v>4</v>
      </c>
      <c r="BD62" s="13" t="s">
        <v>135</v>
      </c>
      <c r="BE62" s="13">
        <v>0</v>
      </c>
      <c r="BF62" s="13" t="s">
        <v>100</v>
      </c>
      <c r="BG62" s="13">
        <v>1</v>
      </c>
      <c r="BH62" s="13">
        <v>1</v>
      </c>
      <c r="BI62" s="13" t="s">
        <v>76</v>
      </c>
      <c r="BJ62" s="13" t="s">
        <v>94</v>
      </c>
      <c r="BK62" s="13" t="s">
        <v>76</v>
      </c>
      <c r="BL62" s="13">
        <v>1</v>
      </c>
      <c r="BM62" s="13" t="s">
        <v>76</v>
      </c>
      <c r="BN62" s="13" t="s">
        <v>94</v>
      </c>
      <c r="BO62" s="13" t="s">
        <v>76</v>
      </c>
      <c r="BP62" s="13"/>
      <c r="BQ62" s="13" t="s">
        <v>125</v>
      </c>
      <c r="BR62" s="13" t="s">
        <v>96</v>
      </c>
    </row>
    <row r="63" spans="1:70" ht="19.899999999999999" customHeight="1">
      <c r="A63" s="13">
        <v>72</v>
      </c>
      <c r="B63" s="13"/>
      <c r="C63" s="14">
        <v>45868</v>
      </c>
      <c r="D63" s="13">
        <v>4.28</v>
      </c>
      <c r="E63" s="13"/>
      <c r="F63" s="13">
        <f t="shared" si="0"/>
        <v>0.15285714285714286</v>
      </c>
      <c r="G63" s="13">
        <v>1</v>
      </c>
      <c r="H63" s="13" t="s">
        <v>70</v>
      </c>
      <c r="I63" s="13">
        <v>0</v>
      </c>
      <c r="J63" s="13">
        <v>1</v>
      </c>
      <c r="K63" s="13"/>
      <c r="L63" s="13">
        <v>4</v>
      </c>
      <c r="M63" s="13" t="s">
        <v>97</v>
      </c>
      <c r="N63" s="13" t="s">
        <v>72</v>
      </c>
      <c r="O63" s="13" t="s">
        <v>150</v>
      </c>
      <c r="P63" s="13"/>
      <c r="Q63" s="13" t="s">
        <v>98</v>
      </c>
      <c r="R63" s="13" t="s">
        <v>73</v>
      </c>
      <c r="S63" s="13">
        <v>1</v>
      </c>
      <c r="T63" s="13">
        <v>50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>
        <v>28</v>
      </c>
      <c r="AS63" s="13">
        <v>1</v>
      </c>
      <c r="AT63" s="13"/>
      <c r="AU63" s="13"/>
      <c r="AV63" s="13"/>
      <c r="AW63" s="13"/>
      <c r="AX63" s="13"/>
      <c r="AY63" s="13"/>
      <c r="AZ63" s="13">
        <v>1</v>
      </c>
      <c r="BA63" s="13" t="s">
        <v>84</v>
      </c>
      <c r="BB63" s="13" t="s">
        <v>83</v>
      </c>
      <c r="BC63" s="13">
        <v>2</v>
      </c>
      <c r="BD63" s="13">
        <v>2</v>
      </c>
      <c r="BE63" s="13" t="s">
        <v>100</v>
      </c>
      <c r="BF63" s="13">
        <v>0</v>
      </c>
      <c r="BG63" s="13">
        <v>1</v>
      </c>
      <c r="BH63" s="13">
        <v>0</v>
      </c>
      <c r="BI63" s="13"/>
      <c r="BJ63" s="13"/>
      <c r="BK63" s="13"/>
      <c r="BL63" s="13">
        <v>0</v>
      </c>
      <c r="BM63" s="13"/>
      <c r="BN63" s="13"/>
      <c r="BO63" s="13"/>
      <c r="BP63" s="13"/>
      <c r="BQ63" s="13" t="s">
        <v>95</v>
      </c>
      <c r="BR63" s="13" t="s">
        <v>96</v>
      </c>
    </row>
    <row r="64" spans="1:70" ht="19.899999999999999" customHeight="1">
      <c r="A64" s="4">
        <v>69</v>
      </c>
      <c r="B64" s="4"/>
      <c r="C64" s="9">
        <v>45866</v>
      </c>
      <c r="D64" s="4">
        <v>7.73</v>
      </c>
      <c r="E64" s="4"/>
      <c r="F64" s="4">
        <f t="shared" si="0"/>
        <v>6.4957983193277308E-2</v>
      </c>
      <c r="G64" s="4">
        <v>0</v>
      </c>
      <c r="H64" s="4" t="s">
        <v>80</v>
      </c>
      <c r="I64" s="4">
        <v>0</v>
      </c>
      <c r="J64" s="4">
        <v>1</v>
      </c>
      <c r="K64" s="4"/>
      <c r="L64" s="4">
        <v>4</v>
      </c>
      <c r="M64" s="4" t="s">
        <v>148</v>
      </c>
      <c r="N64" s="4" t="s">
        <v>72</v>
      </c>
      <c r="O64" s="4" t="s">
        <v>149</v>
      </c>
      <c r="P64" s="4"/>
      <c r="Q64" s="4" t="s">
        <v>114</v>
      </c>
      <c r="R64" s="4" t="s">
        <v>73</v>
      </c>
      <c r="S64" s="4">
        <v>1</v>
      </c>
      <c r="T64" s="4">
        <v>30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>
        <v>119</v>
      </c>
      <c r="AS64" s="4">
        <v>1</v>
      </c>
      <c r="AT64" s="4"/>
      <c r="AU64" s="4"/>
      <c r="AV64" s="4"/>
      <c r="AW64" s="4"/>
      <c r="AX64" s="4"/>
      <c r="AY64" s="4"/>
      <c r="AZ64" s="4">
        <v>1</v>
      </c>
      <c r="BA64" s="4" t="s">
        <v>84</v>
      </c>
      <c r="BB64" s="4" t="s">
        <v>83</v>
      </c>
      <c r="BC64" s="4">
        <v>2</v>
      </c>
      <c r="BD64" s="4">
        <v>3</v>
      </c>
      <c r="BE64" s="4" t="s">
        <v>100</v>
      </c>
      <c r="BF64" s="4">
        <v>0</v>
      </c>
      <c r="BG64" s="4">
        <v>0</v>
      </c>
      <c r="BH64" s="4">
        <v>1</v>
      </c>
      <c r="BI64" s="4" t="s">
        <v>94</v>
      </c>
      <c r="BJ64" s="4" t="s">
        <v>76</v>
      </c>
      <c r="BK64" s="4" t="s">
        <v>76</v>
      </c>
      <c r="BL64" s="4">
        <v>0</v>
      </c>
      <c r="BM64" s="4"/>
      <c r="BN64" s="4"/>
      <c r="BO64" s="4"/>
      <c r="BP64" s="4"/>
      <c r="BQ64" s="4" t="s">
        <v>125</v>
      </c>
      <c r="BR64" s="4" t="s">
        <v>145</v>
      </c>
    </row>
    <row r="65" spans="1:70" ht="19.899999999999999" customHeight="1">
      <c r="A65" s="4">
        <v>71</v>
      </c>
      <c r="B65" s="4"/>
      <c r="C65" s="9">
        <v>45868</v>
      </c>
      <c r="D65" s="4">
        <v>4.88</v>
      </c>
      <c r="E65" s="4"/>
      <c r="F65" s="4">
        <f t="shared" si="0"/>
        <v>0.122</v>
      </c>
      <c r="G65" s="4">
        <v>1</v>
      </c>
      <c r="H65" s="4" t="s">
        <v>70</v>
      </c>
      <c r="I65" s="4">
        <v>0</v>
      </c>
      <c r="J65" s="4">
        <v>1</v>
      </c>
      <c r="K65" s="4"/>
      <c r="L65" s="4">
        <v>4</v>
      </c>
      <c r="M65" s="4" t="s">
        <v>81</v>
      </c>
      <c r="N65" s="4" t="s">
        <v>72</v>
      </c>
      <c r="O65" s="4" t="s">
        <v>112</v>
      </c>
      <c r="P65" s="4"/>
      <c r="Q65" s="4" t="s">
        <v>92</v>
      </c>
      <c r="R65" s="4" t="s">
        <v>73</v>
      </c>
      <c r="S65" s="4">
        <v>1</v>
      </c>
      <c r="T65" s="4">
        <v>100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>
        <v>40</v>
      </c>
      <c r="AS65" s="4">
        <v>1</v>
      </c>
      <c r="AT65" s="4"/>
      <c r="AU65" s="4"/>
      <c r="AV65" s="4"/>
      <c r="AW65" s="4"/>
      <c r="AX65" s="4"/>
      <c r="AY65" s="4"/>
      <c r="AZ65" s="4">
        <v>1</v>
      </c>
      <c r="BA65" s="4" t="s">
        <v>84</v>
      </c>
      <c r="BB65" s="4" t="s">
        <v>73</v>
      </c>
      <c r="BC65" s="4">
        <v>1</v>
      </c>
      <c r="BD65" s="4" t="s">
        <v>142</v>
      </c>
      <c r="BE65" s="4" t="s">
        <v>100</v>
      </c>
      <c r="BF65" s="4">
        <v>0</v>
      </c>
      <c r="BG65" s="4">
        <v>0</v>
      </c>
      <c r="BH65" s="4">
        <v>0</v>
      </c>
      <c r="BI65" s="4"/>
      <c r="BJ65" s="4"/>
      <c r="BK65" s="4"/>
      <c r="BL65" s="4">
        <v>0</v>
      </c>
      <c r="BM65" s="4"/>
      <c r="BN65" s="4"/>
      <c r="BO65" s="4"/>
      <c r="BP65" s="4"/>
      <c r="BQ65" s="4" t="s">
        <v>125</v>
      </c>
      <c r="BR65" s="4" t="s">
        <v>123</v>
      </c>
    </row>
    <row r="66" spans="1:70" ht="19.899999999999999" customHeight="1">
      <c r="A66" s="13">
        <v>63</v>
      </c>
      <c r="B66" s="13"/>
      <c r="C66" s="14">
        <v>45873</v>
      </c>
      <c r="D66" s="13">
        <v>12</v>
      </c>
      <c r="E66" s="13"/>
      <c r="F66" s="13">
        <f t="shared" si="0"/>
        <v>0.4</v>
      </c>
      <c r="G66" s="13">
        <v>1</v>
      </c>
      <c r="H66" s="13" t="s">
        <v>70</v>
      </c>
      <c r="I66" s="13">
        <v>0</v>
      </c>
      <c r="J66" s="13">
        <v>1</v>
      </c>
      <c r="K66" s="13"/>
      <c r="L66" s="13" t="s">
        <v>143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>
        <v>30</v>
      </c>
      <c r="AS66" s="13" t="s">
        <v>143</v>
      </c>
      <c r="AT66" s="13"/>
      <c r="AU66" s="13"/>
      <c r="AV66" s="13"/>
      <c r="AW66" s="13"/>
      <c r="AX66" s="13"/>
      <c r="AY66" s="13"/>
      <c r="AZ66" s="13">
        <v>1</v>
      </c>
      <c r="BA66" s="13" t="s">
        <v>84</v>
      </c>
      <c r="BB66" s="13" t="s">
        <v>83</v>
      </c>
      <c r="BC66" s="13">
        <v>2</v>
      </c>
      <c r="BD66" s="13">
        <v>2</v>
      </c>
      <c r="BE66" s="13" t="s">
        <v>100</v>
      </c>
      <c r="BF66" s="13">
        <v>0</v>
      </c>
      <c r="BG66" s="13" t="s">
        <v>147</v>
      </c>
      <c r="BH66" s="13">
        <v>0</v>
      </c>
      <c r="BI66" s="13"/>
      <c r="BJ66" s="13"/>
      <c r="BK66" s="13"/>
      <c r="BL66" s="13">
        <v>0</v>
      </c>
      <c r="BM66" s="13"/>
      <c r="BN66" s="13"/>
      <c r="BO66" s="13"/>
      <c r="BP66" s="13"/>
      <c r="BQ66" s="13" t="s">
        <v>125</v>
      </c>
      <c r="BR66" s="13" t="s">
        <v>145</v>
      </c>
    </row>
    <row r="67" spans="1:70" ht="19.899999999999999" customHeight="1">
      <c r="A67" s="4">
        <v>57</v>
      </c>
      <c r="B67" s="4"/>
      <c r="C67" s="9">
        <v>45873</v>
      </c>
      <c r="D67" s="4">
        <v>4.7</v>
      </c>
      <c r="E67" s="4"/>
      <c r="F67" s="4">
        <f t="shared" si="0"/>
        <v>0.11750000000000001</v>
      </c>
      <c r="G67" s="4">
        <v>1</v>
      </c>
      <c r="H67" s="4" t="s">
        <v>129</v>
      </c>
      <c r="I67" s="4">
        <v>0</v>
      </c>
      <c r="J67" s="4">
        <v>1</v>
      </c>
      <c r="K67" s="4"/>
      <c r="L67" s="4">
        <v>4</v>
      </c>
      <c r="M67" s="4" t="s">
        <v>97</v>
      </c>
      <c r="N67" s="4" t="s">
        <v>72</v>
      </c>
      <c r="O67" s="4" t="s">
        <v>146</v>
      </c>
      <c r="P67" s="4"/>
      <c r="Q67" s="4" t="s">
        <v>138</v>
      </c>
      <c r="R67" s="4" t="s">
        <v>83</v>
      </c>
      <c r="S67" s="4">
        <v>2</v>
      </c>
      <c r="T67" s="4">
        <v>60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>
        <v>40</v>
      </c>
      <c r="AS67" s="4">
        <v>1</v>
      </c>
      <c r="AT67" s="4"/>
      <c r="AU67" s="4"/>
      <c r="AV67" s="4"/>
      <c r="AW67" s="4"/>
      <c r="AX67" s="4"/>
      <c r="AY67" s="4"/>
      <c r="AZ67" s="4">
        <v>1</v>
      </c>
      <c r="BA67" s="4" t="s">
        <v>84</v>
      </c>
      <c r="BB67" s="4" t="s">
        <v>83</v>
      </c>
      <c r="BC67" s="4">
        <v>2</v>
      </c>
      <c r="BD67" s="4" t="s">
        <v>142</v>
      </c>
      <c r="BE67" s="4">
        <v>0</v>
      </c>
      <c r="BF67" s="4">
        <v>0</v>
      </c>
      <c r="BG67" s="4">
        <v>0</v>
      </c>
      <c r="BH67" s="4">
        <v>1</v>
      </c>
      <c r="BI67" s="4" t="s">
        <v>94</v>
      </c>
      <c r="BJ67" s="4" t="s">
        <v>76</v>
      </c>
      <c r="BK67" s="4" t="s">
        <v>76</v>
      </c>
      <c r="BL67" s="4">
        <v>0</v>
      </c>
      <c r="BM67" s="4"/>
      <c r="BN67" s="4"/>
      <c r="BO67" s="4"/>
      <c r="BP67" s="4"/>
      <c r="BQ67" s="4" t="s">
        <v>95</v>
      </c>
      <c r="BR67" s="4" t="s">
        <v>106</v>
      </c>
    </row>
    <row r="68" spans="1:70" ht="19.899999999999999" customHeight="1">
      <c r="A68" s="4">
        <v>75</v>
      </c>
      <c r="B68" s="4"/>
      <c r="C68" s="9">
        <v>45875</v>
      </c>
      <c r="D68" s="4">
        <v>6.14</v>
      </c>
      <c r="E68" s="4"/>
      <c r="F68" s="4">
        <f t="shared" si="0"/>
        <v>0.12791666666666665</v>
      </c>
      <c r="G68" s="4">
        <v>1</v>
      </c>
      <c r="H68" s="4" t="s">
        <v>129</v>
      </c>
      <c r="I68" s="4">
        <v>0</v>
      </c>
      <c r="J68" s="4">
        <v>1</v>
      </c>
      <c r="K68" s="4">
        <v>2</v>
      </c>
      <c r="L68" s="4">
        <v>4</v>
      </c>
      <c r="M68" s="4" t="s">
        <v>97</v>
      </c>
      <c r="N68" s="4" t="s">
        <v>77</v>
      </c>
      <c r="O68" s="4" t="s">
        <v>78</v>
      </c>
      <c r="P68" s="4"/>
      <c r="Q68" s="4" t="s">
        <v>138</v>
      </c>
      <c r="R68" s="4" t="s">
        <v>83</v>
      </c>
      <c r="S68" s="4">
        <v>2</v>
      </c>
      <c r="T68" s="4">
        <v>25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>
        <v>48</v>
      </c>
      <c r="AS68" s="4">
        <v>1</v>
      </c>
      <c r="AT68" s="4"/>
      <c r="AU68" s="4"/>
      <c r="AV68" s="4"/>
      <c r="AW68" s="4"/>
      <c r="AX68" s="4"/>
      <c r="AY68" s="4"/>
      <c r="AZ68" s="4">
        <v>1</v>
      </c>
      <c r="BA68" s="4" t="s">
        <v>84</v>
      </c>
      <c r="BB68" s="4" t="s">
        <v>83</v>
      </c>
      <c r="BC68" s="4">
        <v>2</v>
      </c>
      <c r="BD68" s="4">
        <v>2</v>
      </c>
      <c r="BE68" s="4">
        <v>0</v>
      </c>
      <c r="BF68" s="4">
        <v>0</v>
      </c>
      <c r="BG68" s="4">
        <v>0</v>
      </c>
      <c r="BH68" s="4">
        <v>0</v>
      </c>
      <c r="BI68" s="4"/>
      <c r="BJ68" s="4"/>
      <c r="BK68" s="4"/>
      <c r="BL68" s="4">
        <v>0</v>
      </c>
      <c r="BM68" s="4"/>
      <c r="BN68" s="4"/>
      <c r="BO68" s="4"/>
      <c r="BP68" s="4"/>
      <c r="BQ68" s="4" t="s">
        <v>95</v>
      </c>
      <c r="BR68" s="4" t="s">
        <v>145</v>
      </c>
    </row>
    <row r="69" spans="1:70" ht="19.899999999999999" customHeight="1">
      <c r="A69" s="4">
        <v>74</v>
      </c>
      <c r="B69" s="4"/>
      <c r="C69" s="9">
        <v>45889</v>
      </c>
      <c r="D69" s="4">
        <v>22</v>
      </c>
      <c r="E69" s="4">
        <v>7.1</v>
      </c>
      <c r="F69" s="4">
        <f t="shared" si="0"/>
        <v>0.73333333333333328</v>
      </c>
      <c r="G69" s="4">
        <v>1</v>
      </c>
      <c r="H69" s="4" t="s">
        <v>129</v>
      </c>
      <c r="I69" s="4">
        <v>0</v>
      </c>
      <c r="J69" s="4">
        <v>1</v>
      </c>
      <c r="K69" s="4"/>
      <c r="L69" s="4">
        <v>5</v>
      </c>
      <c r="M69" s="4" t="s">
        <v>133</v>
      </c>
      <c r="N69" s="4" t="s">
        <v>77</v>
      </c>
      <c r="O69" s="4" t="s">
        <v>144</v>
      </c>
      <c r="P69" s="4"/>
      <c r="Q69" s="4" t="s">
        <v>151</v>
      </c>
      <c r="R69" s="4" t="s">
        <v>124</v>
      </c>
      <c r="S69" s="4">
        <v>5</v>
      </c>
      <c r="T69" s="4">
        <v>100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>
        <v>30</v>
      </c>
      <c r="AS69" s="4"/>
      <c r="AT69" s="4"/>
      <c r="AU69" s="4"/>
      <c r="AV69" s="4"/>
      <c r="AW69" s="4"/>
      <c r="AX69" s="4"/>
      <c r="AY69" s="4"/>
      <c r="AZ69" s="4">
        <v>1</v>
      </c>
      <c r="BA69" s="4" t="s">
        <v>84</v>
      </c>
      <c r="BB69" s="4" t="s">
        <v>88</v>
      </c>
      <c r="BC69" s="4">
        <v>3</v>
      </c>
      <c r="BD69" s="4" t="s">
        <v>135</v>
      </c>
      <c r="BE69" s="4">
        <v>1</v>
      </c>
      <c r="BF69" s="4" t="s">
        <v>100</v>
      </c>
      <c r="BG69" s="4">
        <v>0</v>
      </c>
      <c r="BH69" s="4">
        <v>1</v>
      </c>
      <c r="BI69" s="4"/>
      <c r="BJ69" s="4"/>
      <c r="BK69" s="4" t="s">
        <v>94</v>
      </c>
      <c r="BL69" s="4">
        <v>1</v>
      </c>
      <c r="BM69" s="4"/>
      <c r="BN69" s="4"/>
      <c r="BO69" s="4" t="s">
        <v>94</v>
      </c>
      <c r="BP69" s="4"/>
      <c r="BQ69" s="4" t="s">
        <v>125</v>
      </c>
      <c r="BR69" s="4" t="s">
        <v>96</v>
      </c>
    </row>
    <row r="70" spans="1:70" ht="19.899999999999999" customHeight="1">
      <c r="A70" s="4">
        <v>74</v>
      </c>
      <c r="B70" s="4"/>
      <c r="C70" s="9">
        <v>45889</v>
      </c>
      <c r="D70" s="4">
        <v>11</v>
      </c>
      <c r="E70" s="4"/>
      <c r="F70" s="4">
        <f t="shared" si="0"/>
        <v>0.37931034482758619</v>
      </c>
      <c r="G70" s="4">
        <v>1</v>
      </c>
      <c r="H70" s="4" t="s">
        <v>129</v>
      </c>
      <c r="I70" s="4">
        <v>0</v>
      </c>
      <c r="J70" s="4">
        <v>1</v>
      </c>
      <c r="K70" s="4"/>
      <c r="L70" s="4" t="s">
        <v>143</v>
      </c>
      <c r="M70" s="4"/>
      <c r="N70" s="4"/>
      <c r="O70" s="4"/>
      <c r="P70" s="4"/>
      <c r="Q70" s="4"/>
      <c r="R70" s="4" t="s">
        <v>73</v>
      </c>
      <c r="S70" s="4">
        <v>1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>
        <v>29</v>
      </c>
      <c r="AS70" s="4" t="s">
        <v>143</v>
      </c>
      <c r="AT70" s="4"/>
      <c r="AU70" s="4"/>
      <c r="AV70" s="4"/>
      <c r="AW70" s="4"/>
      <c r="AX70" s="4"/>
      <c r="AY70" s="4"/>
      <c r="AZ70" s="4">
        <v>1</v>
      </c>
      <c r="BA70" s="4" t="s">
        <v>84</v>
      </c>
      <c r="BB70" s="4" t="s">
        <v>83</v>
      </c>
      <c r="BC70" s="4">
        <v>2</v>
      </c>
      <c r="BD70" s="4" t="s">
        <v>142</v>
      </c>
      <c r="BE70" s="4" t="s">
        <v>100</v>
      </c>
      <c r="BF70" s="4">
        <v>0</v>
      </c>
      <c r="BG70" s="4">
        <v>0</v>
      </c>
      <c r="BH70" s="4">
        <v>0</v>
      </c>
      <c r="BI70" s="4"/>
      <c r="BJ70" s="4"/>
      <c r="BK70" s="4"/>
      <c r="BL70" s="4">
        <v>0</v>
      </c>
      <c r="BM70" s="4"/>
      <c r="BN70" s="4"/>
      <c r="BO70" s="4"/>
      <c r="BP70" s="4"/>
      <c r="BQ70" s="4" t="s">
        <v>95</v>
      </c>
      <c r="BR70" s="4" t="s">
        <v>123</v>
      </c>
    </row>
    <row r="71" spans="1:70" ht="19.899999999999999" customHeight="1">
      <c r="A71" s="13">
        <v>69</v>
      </c>
      <c r="B71" s="13"/>
      <c r="C71" s="14">
        <v>45887</v>
      </c>
      <c r="D71" s="13">
        <v>13.6</v>
      </c>
      <c r="E71" s="13"/>
      <c r="F71" s="13">
        <f t="shared" si="0"/>
        <v>0.39999999999999997</v>
      </c>
      <c r="G71" s="13">
        <v>1</v>
      </c>
      <c r="H71" s="13" t="s">
        <v>89</v>
      </c>
      <c r="I71" s="13">
        <v>0</v>
      </c>
      <c r="J71" s="13">
        <v>1</v>
      </c>
      <c r="K71" s="13"/>
      <c r="L71" s="13">
        <v>5</v>
      </c>
      <c r="M71" s="13" t="s">
        <v>141</v>
      </c>
      <c r="N71" s="13" t="s">
        <v>77</v>
      </c>
      <c r="O71" s="13" t="s">
        <v>78</v>
      </c>
      <c r="P71" s="13"/>
      <c r="Q71" s="13" t="s">
        <v>102</v>
      </c>
      <c r="R71" s="13" t="s">
        <v>83</v>
      </c>
      <c r="S71" s="13">
        <v>2</v>
      </c>
      <c r="T71" s="13"/>
      <c r="U71" s="13"/>
      <c r="V71" s="13"/>
      <c r="W71" s="13"/>
      <c r="X71" s="13">
        <v>4</v>
      </c>
      <c r="Y71" s="13"/>
      <c r="Z71" s="13" t="s">
        <v>72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>
        <v>34</v>
      </c>
      <c r="AS71" s="13"/>
      <c r="AT71" s="13"/>
      <c r="AU71" s="13"/>
      <c r="AV71" s="13"/>
      <c r="AW71" s="13"/>
      <c r="AX71" s="13"/>
      <c r="AY71" s="13"/>
      <c r="AZ71" s="13">
        <v>1</v>
      </c>
      <c r="BA71" s="13" t="s">
        <v>84</v>
      </c>
      <c r="BB71" s="13" t="s">
        <v>140</v>
      </c>
      <c r="BC71" s="13">
        <v>5</v>
      </c>
      <c r="BD71" s="13" t="s">
        <v>135</v>
      </c>
      <c r="BE71" s="13" t="s">
        <v>100</v>
      </c>
      <c r="BF71" s="13">
        <v>0</v>
      </c>
      <c r="BG71" s="13">
        <v>1</v>
      </c>
      <c r="BH71" s="13">
        <v>1</v>
      </c>
      <c r="BI71" s="13"/>
      <c r="BJ71" s="13"/>
      <c r="BK71" s="13" t="s">
        <v>94</v>
      </c>
      <c r="BL71" s="13">
        <v>1</v>
      </c>
      <c r="BM71" s="13"/>
      <c r="BN71" s="13"/>
      <c r="BO71" s="13" t="s">
        <v>94</v>
      </c>
      <c r="BP71" s="13"/>
      <c r="BQ71" s="13" t="s">
        <v>125</v>
      </c>
      <c r="BR71" s="13" t="s">
        <v>106</v>
      </c>
    </row>
    <row r="72" spans="1:70" ht="19.899999999999999" customHeight="1">
      <c r="A72" s="4">
        <v>67</v>
      </c>
      <c r="B72" s="4"/>
      <c r="C72" s="9">
        <v>45901</v>
      </c>
      <c r="D72" s="4">
        <v>7.8</v>
      </c>
      <c r="E72" s="4"/>
      <c r="F72" s="4">
        <f t="shared" si="0"/>
        <v>0.27857142857142858</v>
      </c>
      <c r="G72" s="4">
        <v>1</v>
      </c>
      <c r="H72" s="4" t="s">
        <v>129</v>
      </c>
      <c r="I72" s="4">
        <v>0</v>
      </c>
      <c r="J72" s="4">
        <v>1</v>
      </c>
      <c r="K72" s="4"/>
      <c r="L72" s="4">
        <v>4</v>
      </c>
      <c r="M72" s="4" t="s">
        <v>97</v>
      </c>
      <c r="N72" s="4" t="s">
        <v>72</v>
      </c>
      <c r="O72" s="4" t="s">
        <v>91</v>
      </c>
      <c r="P72" s="4"/>
      <c r="Q72" s="4" t="s">
        <v>138</v>
      </c>
      <c r="R72" s="4" t="s">
        <v>73</v>
      </c>
      <c r="S72" s="4">
        <v>1</v>
      </c>
      <c r="T72" s="12" t="s">
        <v>139</v>
      </c>
      <c r="U72" s="4"/>
      <c r="V72" s="4"/>
      <c r="W72" s="4"/>
      <c r="X72" s="4">
        <v>4</v>
      </c>
      <c r="Y72" s="4" t="s">
        <v>81</v>
      </c>
      <c r="Z72" s="4" t="s">
        <v>72</v>
      </c>
      <c r="AA72" s="4" t="s">
        <v>111</v>
      </c>
      <c r="AB72" s="4"/>
      <c r="AC72" s="4" t="s">
        <v>73</v>
      </c>
      <c r="AD72" s="4">
        <v>1</v>
      </c>
      <c r="AE72" s="12" t="s">
        <v>139</v>
      </c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>
        <v>28</v>
      </c>
      <c r="AS72" s="4">
        <v>1</v>
      </c>
      <c r="AT72" s="4"/>
      <c r="AU72" s="4"/>
      <c r="AV72" s="4"/>
      <c r="AW72" s="4"/>
      <c r="AX72" s="4"/>
      <c r="AY72" s="4"/>
      <c r="AZ72" s="4">
        <v>1</v>
      </c>
      <c r="BA72" s="4" t="s">
        <v>84</v>
      </c>
      <c r="BB72" s="4" t="s">
        <v>73</v>
      </c>
      <c r="BC72" s="4">
        <v>1</v>
      </c>
      <c r="BD72" s="4">
        <v>2</v>
      </c>
      <c r="BE72" s="4" t="s">
        <v>100</v>
      </c>
      <c r="BF72" s="4">
        <v>0</v>
      </c>
      <c r="BG72" s="4">
        <v>0</v>
      </c>
      <c r="BH72" s="4">
        <v>0</v>
      </c>
      <c r="BI72" s="4"/>
      <c r="BJ72" s="4"/>
      <c r="BK72" s="4"/>
      <c r="BL72" s="4">
        <v>0</v>
      </c>
      <c r="BM72" s="4"/>
      <c r="BN72" s="4"/>
      <c r="BO72" s="4"/>
      <c r="BP72" s="4"/>
      <c r="BQ72" s="4" t="s">
        <v>95</v>
      </c>
      <c r="BR72" s="4" t="s">
        <v>115</v>
      </c>
    </row>
    <row r="73" spans="1:70" ht="19.899999999999999" customHeight="1">
      <c r="A73" s="13">
        <v>69</v>
      </c>
      <c r="B73" s="13"/>
      <c r="C73" s="14">
        <v>45903</v>
      </c>
      <c r="D73" s="13">
        <v>8.1999999999999993</v>
      </c>
      <c r="E73" s="13"/>
      <c r="F73" s="13">
        <f t="shared" si="0"/>
        <v>0.22777777777777775</v>
      </c>
      <c r="G73" s="13">
        <v>0</v>
      </c>
      <c r="H73" s="13" t="s">
        <v>80</v>
      </c>
      <c r="I73" s="13"/>
      <c r="J73" s="13">
        <v>1</v>
      </c>
      <c r="K73" s="13"/>
      <c r="L73" s="13">
        <v>5</v>
      </c>
      <c r="M73" s="13" t="s">
        <v>136</v>
      </c>
      <c r="N73" s="13" t="s">
        <v>77</v>
      </c>
      <c r="O73" s="13"/>
      <c r="P73" s="13"/>
      <c r="Q73" s="13" t="s">
        <v>137</v>
      </c>
      <c r="R73" s="13" t="s">
        <v>73</v>
      </c>
      <c r="S73" s="13">
        <v>1</v>
      </c>
      <c r="T73" s="13">
        <v>80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>
        <v>36</v>
      </c>
      <c r="AS73" s="13"/>
      <c r="AT73" s="13"/>
      <c r="AU73" s="13"/>
      <c r="AV73" s="13"/>
      <c r="AW73" s="13"/>
      <c r="AX73" s="13"/>
      <c r="AY73" s="13"/>
      <c r="AZ73" s="13">
        <v>1</v>
      </c>
      <c r="BA73" s="13" t="s">
        <v>84</v>
      </c>
      <c r="BB73" s="13" t="s">
        <v>124</v>
      </c>
      <c r="BC73" s="13">
        <v>5</v>
      </c>
      <c r="BD73" s="13" t="s">
        <v>135</v>
      </c>
      <c r="BE73" s="13" t="s">
        <v>100</v>
      </c>
      <c r="BF73" s="13">
        <v>0</v>
      </c>
      <c r="BG73" s="13">
        <v>1</v>
      </c>
      <c r="BH73" s="13">
        <v>1</v>
      </c>
      <c r="BI73" s="13" t="s">
        <v>76</v>
      </c>
      <c r="BJ73" s="13" t="s">
        <v>94</v>
      </c>
      <c r="BK73" s="13" t="s">
        <v>76</v>
      </c>
      <c r="BL73" s="13">
        <v>1</v>
      </c>
      <c r="BM73" s="13" t="s">
        <v>76</v>
      </c>
      <c r="BN73" s="13" t="s">
        <v>94</v>
      </c>
      <c r="BO73" s="13" t="s">
        <v>76</v>
      </c>
      <c r="BP73" s="13"/>
      <c r="BQ73" s="13" t="s">
        <v>95</v>
      </c>
      <c r="BR73" s="13" t="s">
        <v>106</v>
      </c>
    </row>
    <row r="74" spans="1:70" ht="19.899999999999999" customHeight="1">
      <c r="A74" s="13">
        <v>66</v>
      </c>
      <c r="B74" s="13"/>
      <c r="C74" s="14">
        <v>45903</v>
      </c>
      <c r="D74" s="13">
        <v>4.95</v>
      </c>
      <c r="E74" s="13"/>
      <c r="F74" s="13">
        <f t="shared" si="0"/>
        <v>0.1767857142857143</v>
      </c>
      <c r="G74" s="13">
        <v>0</v>
      </c>
      <c r="H74" s="13"/>
      <c r="I74" s="13">
        <v>0</v>
      </c>
      <c r="J74" s="13">
        <v>1</v>
      </c>
      <c r="K74" s="13"/>
      <c r="L74" s="13"/>
      <c r="M74" s="13" t="s">
        <v>97</v>
      </c>
      <c r="N74" s="13" t="s">
        <v>77</v>
      </c>
      <c r="O74" s="13" t="s">
        <v>91</v>
      </c>
      <c r="P74" s="13"/>
      <c r="Q74" s="13" t="s">
        <v>110</v>
      </c>
      <c r="R74" s="13" t="s">
        <v>73</v>
      </c>
      <c r="S74" s="13">
        <v>1</v>
      </c>
      <c r="T74" s="13">
        <v>40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>
        <v>28</v>
      </c>
      <c r="AS74" s="13">
        <v>0</v>
      </c>
      <c r="AT74" s="13" t="s">
        <v>77</v>
      </c>
      <c r="AU74" s="13"/>
      <c r="AV74" s="13"/>
      <c r="AW74" s="13"/>
      <c r="AX74" s="13"/>
      <c r="AY74" s="13"/>
      <c r="AZ74" s="13">
        <v>1</v>
      </c>
      <c r="BA74" s="13" t="s">
        <v>84</v>
      </c>
      <c r="BB74" s="13" t="s">
        <v>83</v>
      </c>
      <c r="BC74" s="13">
        <v>2</v>
      </c>
      <c r="BD74" s="13" t="s">
        <v>93</v>
      </c>
      <c r="BE74" s="13">
        <v>0</v>
      </c>
      <c r="BF74" s="13">
        <v>0</v>
      </c>
      <c r="BG74" s="13">
        <v>1</v>
      </c>
      <c r="BH74" s="13">
        <v>1</v>
      </c>
      <c r="BI74" s="13" t="s">
        <v>76</v>
      </c>
      <c r="BJ74" s="13" t="s">
        <v>94</v>
      </c>
      <c r="BK74" s="13" t="s">
        <v>76</v>
      </c>
      <c r="BL74" s="13">
        <v>0</v>
      </c>
      <c r="BM74" s="13"/>
      <c r="BN74" s="13"/>
      <c r="BO74" s="13"/>
      <c r="BP74" s="13"/>
      <c r="BQ74" s="13" t="s">
        <v>95</v>
      </c>
      <c r="BR74" s="13" t="s">
        <v>75</v>
      </c>
    </row>
    <row r="75" spans="1:70" ht="19.899999999999999" customHeight="1">
      <c r="A75" s="13">
        <v>56</v>
      </c>
      <c r="B75" s="13"/>
      <c r="C75" s="14">
        <v>45910</v>
      </c>
      <c r="D75" s="13">
        <v>5.4</v>
      </c>
      <c r="E75" s="13"/>
      <c r="F75" s="13">
        <f t="shared" si="0"/>
        <v>9.818181818181819E-2</v>
      </c>
      <c r="G75" s="13">
        <v>1</v>
      </c>
      <c r="H75" s="13" t="s">
        <v>70</v>
      </c>
      <c r="I75" s="13">
        <v>0</v>
      </c>
      <c r="J75" s="13">
        <v>1</v>
      </c>
      <c r="K75" s="13"/>
      <c r="L75" s="13">
        <v>5</v>
      </c>
      <c r="M75" s="13" t="s">
        <v>133</v>
      </c>
      <c r="N75" s="13" t="s">
        <v>72</v>
      </c>
      <c r="O75" s="13"/>
      <c r="P75" s="13"/>
      <c r="Q75" s="13" t="s">
        <v>134</v>
      </c>
      <c r="R75" s="13" t="s">
        <v>73</v>
      </c>
      <c r="S75" s="13">
        <v>1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>
        <v>55</v>
      </c>
      <c r="AS75" s="13">
        <v>0</v>
      </c>
      <c r="AT75" s="13" t="s">
        <v>72</v>
      </c>
      <c r="AU75" s="13"/>
      <c r="AV75" s="13"/>
      <c r="AW75" s="13"/>
      <c r="AX75" s="13"/>
      <c r="AY75" s="13"/>
      <c r="AZ75" s="13">
        <v>1</v>
      </c>
      <c r="BA75" s="13" t="s">
        <v>84</v>
      </c>
      <c r="BB75" s="13" t="s">
        <v>83</v>
      </c>
      <c r="BC75" s="13">
        <v>2</v>
      </c>
      <c r="BD75" s="13" t="s">
        <v>93</v>
      </c>
      <c r="BE75" s="13" t="s">
        <v>100</v>
      </c>
      <c r="BF75" s="13">
        <v>0</v>
      </c>
      <c r="BG75" s="13">
        <v>1</v>
      </c>
      <c r="BH75" s="13">
        <v>1</v>
      </c>
      <c r="BI75" s="13" t="s">
        <v>94</v>
      </c>
      <c r="BJ75" s="13" t="s">
        <v>76</v>
      </c>
      <c r="BK75" s="13" t="s">
        <v>76</v>
      </c>
      <c r="BL75" s="13">
        <v>0</v>
      </c>
      <c r="BM75" s="13"/>
      <c r="BN75" s="13"/>
      <c r="BO75" s="13"/>
      <c r="BP75" s="13"/>
      <c r="BQ75" s="13" t="s">
        <v>95</v>
      </c>
      <c r="BR75" s="13" t="s">
        <v>75</v>
      </c>
    </row>
    <row r="76" spans="1:70" ht="19.899999999999999" customHeight="1">
      <c r="A76" s="4">
        <v>73</v>
      </c>
      <c r="B76" s="4"/>
      <c r="C76" s="9">
        <v>45910</v>
      </c>
      <c r="D76" s="4">
        <v>6.62</v>
      </c>
      <c r="E76" s="4"/>
      <c r="F76" s="4">
        <f t="shared" si="0"/>
        <v>0.12191528545119706</v>
      </c>
      <c r="G76" s="4">
        <v>1</v>
      </c>
      <c r="H76" s="4" t="s">
        <v>70</v>
      </c>
      <c r="I76" s="4">
        <v>0</v>
      </c>
      <c r="J76" s="4">
        <v>1</v>
      </c>
      <c r="K76" s="4"/>
      <c r="L76" s="4">
        <v>5</v>
      </c>
      <c r="M76" s="4" t="s">
        <v>97</v>
      </c>
      <c r="N76" s="4" t="s">
        <v>77</v>
      </c>
      <c r="O76" s="4" t="s">
        <v>111</v>
      </c>
      <c r="P76" s="4"/>
      <c r="Q76" s="4" t="s">
        <v>92</v>
      </c>
      <c r="R76" s="4" t="s">
        <v>73</v>
      </c>
      <c r="S76" s="4">
        <v>1</v>
      </c>
      <c r="T76" s="4">
        <v>60</v>
      </c>
      <c r="U76" s="4"/>
      <c r="V76" s="4"/>
      <c r="W76" s="4"/>
      <c r="X76" s="4">
        <v>3</v>
      </c>
      <c r="Y76" s="4" t="s">
        <v>97</v>
      </c>
      <c r="Z76" s="4" t="s">
        <v>77</v>
      </c>
      <c r="AA76" s="4" t="s">
        <v>132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>
        <v>54.3</v>
      </c>
      <c r="AS76" s="4">
        <v>1</v>
      </c>
      <c r="AT76" s="4"/>
      <c r="AU76" s="4"/>
      <c r="AV76" s="4"/>
      <c r="AW76" s="4"/>
      <c r="AX76" s="4"/>
      <c r="AY76" s="4"/>
      <c r="AZ76" s="4">
        <v>1</v>
      </c>
      <c r="BA76" s="4" t="s">
        <v>84</v>
      </c>
      <c r="BB76" s="4" t="s">
        <v>83</v>
      </c>
      <c r="BC76" s="4">
        <v>2</v>
      </c>
      <c r="BD76" s="4" t="s">
        <v>93</v>
      </c>
      <c r="BE76" s="4" t="s">
        <v>100</v>
      </c>
      <c r="BF76" s="4">
        <v>1</v>
      </c>
      <c r="BG76" s="4">
        <v>0</v>
      </c>
      <c r="BH76" s="4">
        <v>1</v>
      </c>
      <c r="BI76" s="4" t="s">
        <v>76</v>
      </c>
      <c r="BJ76" s="4" t="s">
        <v>94</v>
      </c>
      <c r="BK76" s="4" t="s">
        <v>76</v>
      </c>
      <c r="BL76" s="4">
        <v>0</v>
      </c>
      <c r="BM76" s="4"/>
      <c r="BN76" s="4"/>
      <c r="BO76" s="4"/>
      <c r="BP76" s="4"/>
      <c r="BQ76" s="4" t="s">
        <v>125</v>
      </c>
      <c r="BR76" s="4" t="s">
        <v>130</v>
      </c>
    </row>
    <row r="77" spans="1:70" ht="19.899999999999999" customHeight="1">
      <c r="A77" s="4">
        <v>68</v>
      </c>
      <c r="B77" s="4"/>
      <c r="C77" s="9">
        <v>45915</v>
      </c>
      <c r="D77" s="4">
        <v>9.9</v>
      </c>
      <c r="E77" s="4"/>
      <c r="F77" s="4">
        <f t="shared" si="0"/>
        <v>0.19800000000000001</v>
      </c>
      <c r="G77" s="4">
        <v>1</v>
      </c>
      <c r="H77" s="4" t="s">
        <v>70</v>
      </c>
      <c r="I77" s="4"/>
      <c r="J77" s="4">
        <v>1</v>
      </c>
      <c r="K77" s="4"/>
      <c r="L77" s="4">
        <v>4</v>
      </c>
      <c r="M77" s="4"/>
      <c r="N77" s="4" t="s">
        <v>77</v>
      </c>
      <c r="O77" s="4"/>
      <c r="P77" s="4"/>
      <c r="Q77" s="4" t="s">
        <v>98</v>
      </c>
      <c r="R77" s="4" t="s">
        <v>88</v>
      </c>
      <c r="S77" s="4">
        <v>3</v>
      </c>
      <c r="T77" s="4">
        <v>40</v>
      </c>
      <c r="U77" s="4"/>
      <c r="V77" s="4"/>
      <c r="W77" s="4"/>
      <c r="X77" s="7" t="s">
        <v>131</v>
      </c>
      <c r="Y77" s="4"/>
      <c r="Z77" s="4" t="s">
        <v>72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>
        <v>50</v>
      </c>
      <c r="AS77" s="4"/>
      <c r="AT77" s="4"/>
      <c r="AU77" s="4"/>
      <c r="AV77" s="4"/>
      <c r="AW77" s="4"/>
      <c r="AX77" s="4"/>
      <c r="AY77" s="4"/>
      <c r="AZ77" s="4">
        <v>1</v>
      </c>
      <c r="BA77" s="4" t="s">
        <v>84</v>
      </c>
      <c r="BB77" s="4" t="s">
        <v>83</v>
      </c>
      <c r="BC77" s="4">
        <v>2</v>
      </c>
      <c r="BD77" s="4">
        <v>2</v>
      </c>
      <c r="BE77" s="4">
        <v>0</v>
      </c>
      <c r="BF77" s="4">
        <v>0</v>
      </c>
      <c r="BG77" s="4">
        <v>0</v>
      </c>
      <c r="BH77" s="4">
        <v>0</v>
      </c>
      <c r="BI77" s="4"/>
      <c r="BJ77" s="4"/>
      <c r="BK77" s="4"/>
      <c r="BL77" s="4">
        <v>0</v>
      </c>
      <c r="BM77" s="4"/>
      <c r="BN77" s="4"/>
      <c r="BO77" s="4"/>
      <c r="BP77" s="4"/>
      <c r="BQ77" s="4" t="s">
        <v>95</v>
      </c>
      <c r="BR77" s="4" t="s">
        <v>106</v>
      </c>
    </row>
    <row r="78" spans="1:70" ht="19.899999999999999" customHeight="1">
      <c r="A78" s="4">
        <v>65</v>
      </c>
      <c r="B78" s="4"/>
      <c r="C78" s="9">
        <v>45917</v>
      </c>
      <c r="D78" s="4">
        <v>4.5</v>
      </c>
      <c r="E78" s="4"/>
      <c r="F78" s="4">
        <f t="shared" si="0"/>
        <v>0.12162162162162163</v>
      </c>
      <c r="G78" s="4"/>
      <c r="H78" s="4" t="s">
        <v>129</v>
      </c>
      <c r="I78" s="4">
        <v>0</v>
      </c>
      <c r="J78" s="4">
        <v>1</v>
      </c>
      <c r="K78" s="4"/>
      <c r="L78" s="4">
        <v>5</v>
      </c>
      <c r="M78" s="4" t="s">
        <v>97</v>
      </c>
      <c r="N78" s="4" t="s">
        <v>77</v>
      </c>
      <c r="O78" s="4" t="s">
        <v>78</v>
      </c>
      <c r="P78" s="4"/>
      <c r="Q78" s="4" t="s">
        <v>121</v>
      </c>
      <c r="R78" s="4" t="s">
        <v>83</v>
      </c>
      <c r="S78" s="4">
        <v>2</v>
      </c>
      <c r="T78" s="4">
        <v>70</v>
      </c>
      <c r="U78" s="4"/>
      <c r="V78" s="4"/>
      <c r="W78" s="4"/>
      <c r="X78" s="4"/>
      <c r="Y78" s="4" t="s">
        <v>81</v>
      </c>
      <c r="Z78" s="4" t="s">
        <v>77</v>
      </c>
      <c r="AA78" s="4" t="s">
        <v>111</v>
      </c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>
        <v>37</v>
      </c>
      <c r="AS78" s="4">
        <v>1</v>
      </c>
      <c r="AT78" s="4"/>
      <c r="AU78" s="4"/>
      <c r="AV78" s="4"/>
      <c r="AW78" s="4"/>
      <c r="AX78" s="4"/>
      <c r="AY78" s="4"/>
      <c r="AZ78" s="4">
        <v>1</v>
      </c>
      <c r="BA78" s="4" t="s">
        <v>84</v>
      </c>
      <c r="BB78" s="4" t="s">
        <v>83</v>
      </c>
      <c r="BC78" s="4">
        <v>2</v>
      </c>
      <c r="BD78" s="4">
        <v>2</v>
      </c>
      <c r="BE78" s="4" t="s">
        <v>100</v>
      </c>
      <c r="BF78" s="4">
        <v>0</v>
      </c>
      <c r="BG78" s="4">
        <v>0</v>
      </c>
      <c r="BH78" s="4">
        <v>0</v>
      </c>
      <c r="BI78" s="4"/>
      <c r="BJ78" s="4"/>
      <c r="BK78" s="4"/>
      <c r="BL78" s="4">
        <v>0</v>
      </c>
      <c r="BM78" s="4"/>
      <c r="BN78" s="4"/>
      <c r="BO78" s="4"/>
      <c r="BP78" s="4"/>
      <c r="BQ78" s="4" t="s">
        <v>95</v>
      </c>
      <c r="BR78" s="4" t="s">
        <v>130</v>
      </c>
    </row>
    <row r="79" spans="1:70" ht="19.899999999999999" customHeight="1">
      <c r="A79" s="11">
        <v>58</v>
      </c>
      <c r="B79" s="11"/>
      <c r="C79" s="17">
        <v>45917</v>
      </c>
      <c r="D79" s="11">
        <v>4.4000000000000004</v>
      </c>
      <c r="E79" s="11">
        <v>-55.6</v>
      </c>
      <c r="F79" s="11">
        <f t="shared" si="0"/>
        <v>0.17600000000000002</v>
      </c>
      <c r="G79" s="11">
        <v>1</v>
      </c>
      <c r="H79" s="11" t="s">
        <v>70</v>
      </c>
      <c r="I79" s="11">
        <v>0</v>
      </c>
      <c r="J79" s="11">
        <v>1</v>
      </c>
      <c r="K79" s="11"/>
      <c r="L79" s="11">
        <v>4</v>
      </c>
      <c r="M79" s="11"/>
      <c r="N79" s="11" t="s">
        <v>72</v>
      </c>
      <c r="O79" s="11" t="s">
        <v>91</v>
      </c>
      <c r="P79" s="11"/>
      <c r="Q79" s="11" t="s">
        <v>128</v>
      </c>
      <c r="R79" s="11" t="s">
        <v>73</v>
      </c>
      <c r="S79" s="11">
        <v>1</v>
      </c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>
        <v>25</v>
      </c>
      <c r="AS79" s="11">
        <v>1</v>
      </c>
      <c r="AT79" s="11"/>
      <c r="AU79" s="11"/>
      <c r="AV79" s="11"/>
      <c r="AW79" s="11"/>
      <c r="AX79" s="11"/>
      <c r="AY79" s="11"/>
      <c r="AZ79" s="11">
        <v>1</v>
      </c>
      <c r="BA79" s="11" t="s">
        <v>84</v>
      </c>
      <c r="BB79" s="11"/>
      <c r="BC79" s="11"/>
      <c r="BD79" s="11"/>
      <c r="BE79" s="11"/>
      <c r="BF79" s="11">
        <v>0</v>
      </c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</row>
    <row r="80" spans="1:70" ht="19.899999999999999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</row>
    <row r="81" spans="1:70" ht="19.8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</row>
    <row r="82" spans="1:70" ht="19.8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</row>
    <row r="83" spans="1:70" ht="19.8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</row>
    <row r="84" spans="1:70" ht="19.8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</row>
    <row r="85" spans="1:70" ht="19.8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</row>
    <row r="86" spans="1:70" ht="19.8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</row>
    <row r="87" spans="1:70" ht="19.8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</row>
    <row r="88" spans="1:70" ht="19.8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</row>
    <row r="89" spans="1:70" ht="19.8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</row>
    <row r="90" spans="1:70" ht="19.8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</row>
    <row r="91" spans="1:70" ht="19.8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</row>
    <row r="92" spans="1:70" ht="19.8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</row>
    <row r="93" spans="1:70" ht="19.8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</row>
    <row r="94" spans="1:70" ht="19.8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</row>
    <row r="95" spans="1:70" ht="19.8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</row>
    <row r="96" spans="1:70" ht="19.8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</row>
    <row r="97" spans="1:70" ht="19.8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</row>
    <row r="98" spans="1:70" ht="19.8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</row>
    <row r="99" spans="1:70" ht="19.8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</row>
    <row r="100" spans="1:70" ht="19.8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</row>
    <row r="101" spans="1:70" ht="19.8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</row>
    <row r="102" spans="1:70" ht="19.8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ignoredErrors>
    <ignoredError sqref="T72 AE72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7322-A0D0-426C-8538-5819529E35F1}">
  <dimension ref="A1:BP28"/>
  <sheetViews>
    <sheetView workbookViewId="0">
      <selection activeCell="I13" sqref="I13"/>
    </sheetView>
  </sheetViews>
  <sheetFormatPr defaultColWidth="8.7109375" defaultRowHeight="12.75"/>
  <cols>
    <col min="1" max="1" width="9.85546875" style="18" bestFit="1" customWidth="1"/>
    <col min="2" max="8" width="8.7109375" style="18"/>
    <col min="9" max="9" width="26.5703125" style="18" customWidth="1"/>
    <col min="10" max="10" width="13.5703125" style="18" customWidth="1"/>
    <col min="11" max="16384" width="8.7109375" style="18"/>
  </cols>
  <sheetData>
    <row r="1" spans="1:68" ht="65.099999999999994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175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</row>
    <row r="2" spans="1:68">
      <c r="A2" s="14">
        <v>45670</v>
      </c>
      <c r="B2" s="13">
        <v>7.6</v>
      </c>
      <c r="C2" s="13"/>
      <c r="D2" s="13">
        <v>0.2923</v>
      </c>
      <c r="E2" s="13"/>
      <c r="F2" s="13"/>
      <c r="G2" s="13"/>
      <c r="H2" s="13">
        <v>1</v>
      </c>
      <c r="I2" s="13">
        <v>2</v>
      </c>
      <c r="J2" s="13">
        <v>5</v>
      </c>
      <c r="K2" s="13" t="s">
        <v>97</v>
      </c>
      <c r="L2" s="13" t="s">
        <v>77</v>
      </c>
      <c r="M2" s="13" t="s">
        <v>103</v>
      </c>
      <c r="N2" s="13"/>
      <c r="O2" s="13" t="s">
        <v>102</v>
      </c>
      <c r="P2" s="13" t="s">
        <v>73</v>
      </c>
      <c r="Q2" s="13">
        <v>1</v>
      </c>
      <c r="R2" s="13">
        <v>60</v>
      </c>
      <c r="S2" s="13"/>
      <c r="T2" s="13"/>
      <c r="U2" s="13"/>
      <c r="V2" s="13">
        <v>4</v>
      </c>
      <c r="W2" s="13" t="s">
        <v>97</v>
      </c>
      <c r="X2" s="13" t="s">
        <v>72</v>
      </c>
      <c r="Y2" s="13" t="s">
        <v>104</v>
      </c>
      <c r="Z2" s="13"/>
      <c r="AA2" s="13" t="s">
        <v>73</v>
      </c>
      <c r="AB2" s="13">
        <v>1</v>
      </c>
      <c r="AC2" s="13">
        <v>40</v>
      </c>
      <c r="AD2" s="13" t="s">
        <v>76</v>
      </c>
      <c r="AE2" s="13" t="s">
        <v>76</v>
      </c>
      <c r="AF2" s="13" t="s">
        <v>76</v>
      </c>
      <c r="AG2" s="13" t="s">
        <v>76</v>
      </c>
      <c r="AH2" s="13" t="s">
        <v>76</v>
      </c>
      <c r="AI2" s="13" t="s">
        <v>76</v>
      </c>
      <c r="AJ2" s="13" t="s">
        <v>76</v>
      </c>
      <c r="AK2" s="13" t="s">
        <v>76</v>
      </c>
      <c r="AL2" s="13"/>
      <c r="AM2" s="13"/>
      <c r="AN2" s="13"/>
      <c r="AO2" s="13"/>
      <c r="AP2" s="13">
        <v>26</v>
      </c>
      <c r="AQ2" s="13"/>
      <c r="AR2" s="13"/>
      <c r="AS2" s="13"/>
      <c r="AT2" s="13"/>
      <c r="AU2" s="13"/>
      <c r="AV2" s="13"/>
      <c r="AW2" s="13"/>
      <c r="AX2" s="13">
        <v>1</v>
      </c>
      <c r="AY2" s="13" t="s">
        <v>84</v>
      </c>
      <c r="AZ2" s="13" t="s">
        <v>83</v>
      </c>
      <c r="BA2" s="13">
        <v>2</v>
      </c>
      <c r="BB2" s="13">
        <v>2</v>
      </c>
      <c r="BC2" s="13">
        <v>0</v>
      </c>
      <c r="BD2" s="13" t="s">
        <v>100</v>
      </c>
      <c r="BE2" s="13">
        <v>1</v>
      </c>
      <c r="BF2" s="13">
        <v>0</v>
      </c>
      <c r="BG2" s="13"/>
      <c r="BH2" s="13"/>
      <c r="BI2" s="13"/>
      <c r="BJ2" s="13">
        <v>0</v>
      </c>
      <c r="BK2" s="13"/>
      <c r="BL2" s="13"/>
      <c r="BM2" s="13"/>
      <c r="BN2" s="13"/>
      <c r="BO2" s="13" t="s">
        <v>95</v>
      </c>
      <c r="BP2" s="13" t="s">
        <v>75</v>
      </c>
    </row>
    <row r="3" spans="1:68">
      <c r="A3" s="14">
        <v>45699</v>
      </c>
      <c r="B3" s="13">
        <v>9.1999999999999993</v>
      </c>
      <c r="C3" s="13"/>
      <c r="D3" s="13">
        <v>0.31506849315068491</v>
      </c>
      <c r="E3" s="13">
        <v>0</v>
      </c>
      <c r="F3" s="13" t="s">
        <v>89</v>
      </c>
      <c r="G3" s="13">
        <v>0</v>
      </c>
      <c r="H3" s="13">
        <v>1</v>
      </c>
      <c r="I3" s="13"/>
      <c r="J3" s="13">
        <v>3</v>
      </c>
      <c r="K3" s="13"/>
      <c r="L3" s="13" t="s">
        <v>77</v>
      </c>
      <c r="M3" s="13" t="s">
        <v>111</v>
      </c>
      <c r="N3" s="13"/>
      <c r="O3" s="13" t="s">
        <v>127</v>
      </c>
      <c r="P3" s="13" t="s">
        <v>83</v>
      </c>
      <c r="Q3" s="13">
        <v>2</v>
      </c>
      <c r="R3" s="13">
        <v>10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>
        <v>29.2</v>
      </c>
      <c r="AQ3" s="13"/>
      <c r="AR3" s="13"/>
      <c r="AS3" s="13"/>
      <c r="AT3" s="13"/>
      <c r="AU3" s="13"/>
      <c r="AV3" s="13"/>
      <c r="AW3" s="13"/>
      <c r="AX3" s="13">
        <v>1</v>
      </c>
      <c r="AY3" s="13" t="s">
        <v>84</v>
      </c>
      <c r="AZ3" s="13" t="s">
        <v>73</v>
      </c>
      <c r="BA3" s="13">
        <v>1</v>
      </c>
      <c r="BB3" s="13">
        <v>4</v>
      </c>
      <c r="BC3" s="13">
        <v>1</v>
      </c>
      <c r="BD3" s="13">
        <v>0</v>
      </c>
      <c r="BE3" s="13">
        <v>1</v>
      </c>
      <c r="BF3" s="13"/>
      <c r="BG3" s="13"/>
      <c r="BH3" s="13"/>
      <c r="BI3" s="13"/>
      <c r="BJ3" s="13">
        <v>0</v>
      </c>
      <c r="BK3" s="13"/>
      <c r="BL3" s="13"/>
      <c r="BM3" s="13"/>
      <c r="BN3" s="13"/>
      <c r="BO3" s="13" t="s">
        <v>125</v>
      </c>
      <c r="BP3" s="13" t="s">
        <v>123</v>
      </c>
    </row>
    <row r="4" spans="1:68">
      <c r="A4" s="14">
        <v>45700</v>
      </c>
      <c r="B4" s="13">
        <v>4.6900000000000004</v>
      </c>
      <c r="C4" s="13"/>
      <c r="D4" s="13">
        <v>0.14656250000000001</v>
      </c>
      <c r="E4" s="13">
        <v>0</v>
      </c>
      <c r="F4" s="13" t="s">
        <v>80</v>
      </c>
      <c r="G4" s="13">
        <v>0</v>
      </c>
      <c r="H4" s="13">
        <v>1</v>
      </c>
      <c r="I4" s="13"/>
      <c r="J4" s="13">
        <v>4</v>
      </c>
      <c r="K4" s="13" t="s">
        <v>81</v>
      </c>
      <c r="L4" s="13" t="s">
        <v>72</v>
      </c>
      <c r="M4" s="13" t="s">
        <v>82</v>
      </c>
      <c r="N4" s="13"/>
      <c r="O4" s="13" t="s">
        <v>138</v>
      </c>
      <c r="P4" s="13" t="s">
        <v>83</v>
      </c>
      <c r="Q4" s="13">
        <v>2</v>
      </c>
      <c r="R4" s="13">
        <v>20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>
        <v>32</v>
      </c>
      <c r="AQ4" s="13"/>
      <c r="AR4" s="13"/>
      <c r="AS4" s="13"/>
      <c r="AT4" s="13"/>
      <c r="AU4" s="13"/>
      <c r="AV4" s="13"/>
      <c r="AW4" s="13"/>
      <c r="AX4" s="13">
        <v>1</v>
      </c>
      <c r="AY4" s="13" t="s">
        <v>84</v>
      </c>
      <c r="AZ4" s="13" t="s">
        <v>83</v>
      </c>
      <c r="BA4" s="13">
        <v>2</v>
      </c>
      <c r="BB4" s="13">
        <v>2</v>
      </c>
      <c r="BC4" s="13" t="s">
        <v>100</v>
      </c>
      <c r="BD4" s="13">
        <v>0</v>
      </c>
      <c r="BE4" s="13" t="s">
        <v>147</v>
      </c>
      <c r="BF4" s="13">
        <v>0</v>
      </c>
      <c r="BG4" s="13"/>
      <c r="BH4" s="13"/>
      <c r="BI4" s="13"/>
      <c r="BJ4" s="13">
        <v>0</v>
      </c>
      <c r="BK4" s="13"/>
      <c r="BL4" s="13"/>
      <c r="BM4" s="13"/>
      <c r="BN4" s="13"/>
      <c r="BO4" s="13" t="s">
        <v>125</v>
      </c>
      <c r="BP4" s="13" t="s">
        <v>115</v>
      </c>
    </row>
    <row r="5" spans="1:68">
      <c r="A5" s="14">
        <v>45705</v>
      </c>
      <c r="B5" s="13">
        <v>13</v>
      </c>
      <c r="C5" s="13"/>
      <c r="D5" s="13">
        <v>0.65</v>
      </c>
      <c r="E5" s="13">
        <v>0</v>
      </c>
      <c r="F5" s="13" t="s">
        <v>80</v>
      </c>
      <c r="G5" s="13"/>
      <c r="H5" s="13">
        <v>1</v>
      </c>
      <c r="I5" s="13">
        <v>2</v>
      </c>
      <c r="J5" s="13"/>
      <c r="K5" s="13"/>
      <c r="L5" s="13"/>
      <c r="M5" s="13"/>
      <c r="N5" s="13"/>
      <c r="O5" s="13"/>
      <c r="P5" s="13" t="s">
        <v>83</v>
      </c>
      <c r="Q5" s="13">
        <v>2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>
        <v>20</v>
      </c>
      <c r="AQ5" s="13"/>
      <c r="AR5" s="13"/>
      <c r="AS5" s="13"/>
      <c r="AT5" s="13"/>
      <c r="AU5" s="13"/>
      <c r="AV5" s="13"/>
      <c r="AW5" s="13"/>
      <c r="AX5" s="13">
        <v>1</v>
      </c>
      <c r="AY5" s="13" t="s">
        <v>84</v>
      </c>
      <c r="AZ5" s="13" t="s">
        <v>83</v>
      </c>
      <c r="BA5" s="13">
        <v>2</v>
      </c>
      <c r="BB5" s="13">
        <v>3</v>
      </c>
      <c r="BC5" s="13">
        <v>0</v>
      </c>
      <c r="BD5" s="13">
        <v>0</v>
      </c>
      <c r="BE5" s="13" t="s">
        <v>147</v>
      </c>
      <c r="BF5" s="13">
        <v>1</v>
      </c>
      <c r="BG5" s="13" t="s">
        <v>94</v>
      </c>
      <c r="BH5" s="13" t="s">
        <v>76</v>
      </c>
      <c r="BI5" s="13" t="s">
        <v>76</v>
      </c>
      <c r="BJ5" s="13">
        <v>0</v>
      </c>
      <c r="BK5" s="13"/>
      <c r="BL5" s="13"/>
      <c r="BM5" s="13"/>
      <c r="BN5" s="13"/>
      <c r="BO5" s="13" t="s">
        <v>95</v>
      </c>
      <c r="BP5" s="13" t="s">
        <v>106</v>
      </c>
    </row>
    <row r="6" spans="1:68">
      <c r="A6" s="14">
        <v>45707</v>
      </c>
      <c r="B6" s="13">
        <v>14.9</v>
      </c>
      <c r="C6" s="13"/>
      <c r="D6" s="13">
        <v>0.3725</v>
      </c>
      <c r="E6" s="13">
        <v>1</v>
      </c>
      <c r="F6" s="13" t="s">
        <v>165</v>
      </c>
      <c r="G6" s="13">
        <v>0</v>
      </c>
      <c r="H6" s="13">
        <v>1</v>
      </c>
      <c r="I6" s="13"/>
      <c r="J6" s="13">
        <v>5</v>
      </c>
      <c r="K6" s="13"/>
      <c r="L6" s="13"/>
      <c r="M6" s="13"/>
      <c r="N6" s="13"/>
      <c r="O6" s="13"/>
      <c r="P6" s="13" t="s">
        <v>83</v>
      </c>
      <c r="Q6" s="13">
        <v>2</v>
      </c>
      <c r="R6" s="13">
        <v>15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>
        <v>40</v>
      </c>
      <c r="AQ6" s="13">
        <v>0</v>
      </c>
      <c r="AR6" s="13" t="s">
        <v>161</v>
      </c>
      <c r="AS6" s="13"/>
      <c r="AT6" s="13"/>
      <c r="AU6" s="13"/>
      <c r="AV6" s="13"/>
      <c r="AW6" s="13"/>
      <c r="AX6" s="13">
        <v>1</v>
      </c>
      <c r="AY6" s="13" t="s">
        <v>84</v>
      </c>
      <c r="AZ6" s="13" t="s">
        <v>88</v>
      </c>
      <c r="BA6" s="13">
        <v>3</v>
      </c>
      <c r="BB6" s="13">
        <v>4</v>
      </c>
      <c r="BC6" s="13">
        <v>0</v>
      </c>
      <c r="BD6" s="13">
        <v>0</v>
      </c>
      <c r="BE6" s="13">
        <v>1</v>
      </c>
      <c r="BF6" s="13">
        <v>1</v>
      </c>
      <c r="BG6" s="13"/>
      <c r="BH6" s="13"/>
      <c r="BI6" s="13" t="s">
        <v>94</v>
      </c>
      <c r="BJ6" s="13">
        <v>1</v>
      </c>
      <c r="BK6" s="13"/>
      <c r="BL6" s="13"/>
      <c r="BM6" s="13" t="s">
        <v>94</v>
      </c>
      <c r="BN6" s="13"/>
      <c r="BO6" s="13" t="s">
        <v>95</v>
      </c>
      <c r="BP6" s="13" t="s">
        <v>123</v>
      </c>
    </row>
    <row r="7" spans="1:68">
      <c r="A7" s="14">
        <v>45719</v>
      </c>
      <c r="B7" s="13">
        <v>12.1</v>
      </c>
      <c r="C7" s="13"/>
      <c r="D7" s="13">
        <v>0.31842105263157894</v>
      </c>
      <c r="E7" s="13">
        <v>1</v>
      </c>
      <c r="F7" s="13" t="s">
        <v>129</v>
      </c>
      <c r="G7" s="13">
        <v>0</v>
      </c>
      <c r="H7" s="13">
        <v>1</v>
      </c>
      <c r="I7" s="13">
        <v>3</v>
      </c>
      <c r="J7" s="13">
        <v>5</v>
      </c>
      <c r="K7" s="13" t="s">
        <v>97</v>
      </c>
      <c r="L7" s="13" t="s">
        <v>72</v>
      </c>
      <c r="M7" s="13" t="s">
        <v>87</v>
      </c>
      <c r="N7" s="13"/>
      <c r="O7" s="13" t="s">
        <v>92</v>
      </c>
      <c r="P7" s="13" t="s">
        <v>83</v>
      </c>
      <c r="Q7" s="13">
        <v>2</v>
      </c>
      <c r="R7" s="13">
        <v>40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>
        <v>38</v>
      </c>
      <c r="AQ7" s="13"/>
      <c r="AR7" s="13"/>
      <c r="AS7" s="13"/>
      <c r="AT7" s="13"/>
      <c r="AU7" s="13"/>
      <c r="AV7" s="13"/>
      <c r="AW7" s="13"/>
      <c r="AX7" s="13">
        <v>1</v>
      </c>
      <c r="AY7" s="13" t="s">
        <v>84</v>
      </c>
      <c r="AZ7" s="13" t="s">
        <v>83</v>
      </c>
      <c r="BA7" s="13">
        <v>2</v>
      </c>
      <c r="BB7" s="13">
        <v>4</v>
      </c>
      <c r="BC7" s="13" t="s">
        <v>100</v>
      </c>
      <c r="BD7" s="13">
        <v>0</v>
      </c>
      <c r="BE7" s="13">
        <v>1</v>
      </c>
      <c r="BF7" s="13">
        <v>1</v>
      </c>
      <c r="BG7" s="13"/>
      <c r="BH7" s="13"/>
      <c r="BI7" s="13"/>
      <c r="BJ7" s="13">
        <v>0</v>
      </c>
      <c r="BK7" s="13"/>
      <c r="BL7" s="13"/>
      <c r="BM7" s="13"/>
      <c r="BN7" s="13"/>
      <c r="BO7" s="13" t="s">
        <v>125</v>
      </c>
      <c r="BP7" s="13" t="s">
        <v>96</v>
      </c>
    </row>
    <row r="8" spans="1:68">
      <c r="A8" s="14">
        <v>45754</v>
      </c>
      <c r="B8" s="13">
        <v>12.4</v>
      </c>
      <c r="C8" s="13"/>
      <c r="D8" s="13">
        <v>0.35428571428571431</v>
      </c>
      <c r="E8" s="13">
        <v>0</v>
      </c>
      <c r="F8" s="13" t="s">
        <v>80</v>
      </c>
      <c r="G8" s="13"/>
      <c r="H8" s="13">
        <v>1</v>
      </c>
      <c r="I8" s="13">
        <v>2</v>
      </c>
      <c r="J8" s="13">
        <v>3</v>
      </c>
      <c r="K8" s="13"/>
      <c r="L8" s="13"/>
      <c r="M8" s="13"/>
      <c r="N8" s="13"/>
      <c r="O8" s="13" t="s">
        <v>128</v>
      </c>
      <c r="P8" s="13" t="s">
        <v>73</v>
      </c>
      <c r="Q8" s="13">
        <v>1</v>
      </c>
      <c r="R8" s="13">
        <v>30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>
        <v>35</v>
      </c>
      <c r="AQ8" s="13"/>
      <c r="AR8" s="13"/>
      <c r="AS8" s="13"/>
      <c r="AT8" s="13"/>
      <c r="AU8" s="13"/>
      <c r="AV8" s="13"/>
      <c r="AW8" s="13"/>
      <c r="AX8" s="13">
        <v>1</v>
      </c>
      <c r="AY8" s="13" t="s">
        <v>84</v>
      </c>
      <c r="AZ8" s="13" t="s">
        <v>73</v>
      </c>
      <c r="BA8" s="13">
        <v>1</v>
      </c>
      <c r="BB8" s="13">
        <v>2</v>
      </c>
      <c r="BC8" s="13" t="s">
        <v>100</v>
      </c>
      <c r="BD8" s="13">
        <v>0</v>
      </c>
      <c r="BE8" s="13">
        <v>1</v>
      </c>
      <c r="BF8" s="13">
        <v>0</v>
      </c>
      <c r="BG8" s="13"/>
      <c r="BH8" s="13"/>
      <c r="BI8" s="13"/>
      <c r="BJ8" s="13">
        <v>0</v>
      </c>
      <c r="BK8" s="13"/>
      <c r="BL8" s="13"/>
      <c r="BM8" s="13"/>
      <c r="BN8" s="13"/>
      <c r="BO8" s="13" t="s">
        <v>125</v>
      </c>
      <c r="BP8" s="13" t="s">
        <v>75</v>
      </c>
    </row>
    <row r="9" spans="1:68">
      <c r="A9" s="14">
        <v>45754</v>
      </c>
      <c r="B9" s="13">
        <v>8.25</v>
      </c>
      <c r="C9" s="13"/>
      <c r="D9" s="13">
        <v>0.12692307692307692</v>
      </c>
      <c r="E9" s="13">
        <v>0</v>
      </c>
      <c r="F9" s="13" t="s">
        <v>80</v>
      </c>
      <c r="G9" s="13"/>
      <c r="H9" s="13">
        <v>1</v>
      </c>
      <c r="I9" s="13"/>
      <c r="J9" s="13">
        <v>4</v>
      </c>
      <c r="K9" s="13"/>
      <c r="L9" s="13"/>
      <c r="M9" s="13" t="s">
        <v>169</v>
      </c>
      <c r="N9" s="13"/>
      <c r="O9" s="13" t="s">
        <v>137</v>
      </c>
      <c r="P9" s="13" t="s">
        <v>73</v>
      </c>
      <c r="Q9" s="13">
        <v>1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 t="s">
        <v>170</v>
      </c>
      <c r="AP9" s="13">
        <v>65</v>
      </c>
      <c r="AQ9" s="13"/>
      <c r="AR9" s="13"/>
      <c r="AS9" s="13"/>
      <c r="AT9" s="13"/>
      <c r="AU9" s="13"/>
      <c r="AV9" s="13"/>
      <c r="AW9" s="13"/>
      <c r="AX9" s="13">
        <v>1</v>
      </c>
      <c r="AY9" s="13" t="s">
        <v>84</v>
      </c>
      <c r="AZ9" s="13" t="s">
        <v>83</v>
      </c>
      <c r="BA9" s="13">
        <v>2</v>
      </c>
      <c r="BB9" s="13">
        <v>2</v>
      </c>
      <c r="BC9" s="13" t="s">
        <v>100</v>
      </c>
      <c r="BD9" s="13">
        <v>0</v>
      </c>
      <c r="BE9" s="13">
        <v>1</v>
      </c>
      <c r="BF9" s="13">
        <v>1</v>
      </c>
      <c r="BG9" s="13"/>
      <c r="BH9" s="13"/>
      <c r="BI9" s="13" t="s">
        <v>94</v>
      </c>
      <c r="BJ9" s="13">
        <v>0</v>
      </c>
      <c r="BK9" s="13"/>
      <c r="BL9" s="13"/>
      <c r="BM9" s="13"/>
      <c r="BN9" s="13"/>
      <c r="BO9" s="13" t="s">
        <v>95</v>
      </c>
      <c r="BP9" s="13" t="s">
        <v>106</v>
      </c>
    </row>
    <row r="10" spans="1:68">
      <c r="A10" s="14">
        <v>45762</v>
      </c>
      <c r="B10" s="13">
        <v>10.4</v>
      </c>
      <c r="C10" s="13"/>
      <c r="D10" s="13">
        <v>0.23266219239373601</v>
      </c>
      <c r="E10" s="13">
        <v>1</v>
      </c>
      <c r="F10" s="13" t="s">
        <v>129</v>
      </c>
      <c r="G10" s="13">
        <v>0</v>
      </c>
      <c r="H10" s="13">
        <v>1</v>
      </c>
      <c r="I10" s="13"/>
      <c r="J10" s="13"/>
      <c r="K10" s="13" t="s">
        <v>97</v>
      </c>
      <c r="L10" s="13" t="s">
        <v>72</v>
      </c>
      <c r="M10" s="13"/>
      <c r="N10" s="13"/>
      <c r="O10" s="13" t="s">
        <v>155</v>
      </c>
      <c r="P10" s="13" t="s">
        <v>73</v>
      </c>
      <c r="Q10" s="13">
        <v>1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>
        <v>44.7</v>
      </c>
      <c r="AQ10" s="13">
        <v>1</v>
      </c>
      <c r="AR10" s="13"/>
      <c r="AS10" s="13"/>
      <c r="AT10" s="13"/>
      <c r="AU10" s="13"/>
      <c r="AV10" s="13"/>
      <c r="AW10" s="13"/>
      <c r="AX10" s="13">
        <v>1</v>
      </c>
      <c r="AY10" s="13" t="s">
        <v>84</v>
      </c>
      <c r="AZ10" s="13" t="s">
        <v>73</v>
      </c>
      <c r="BA10" s="13">
        <v>1</v>
      </c>
      <c r="BB10" s="13" t="s">
        <v>142</v>
      </c>
      <c r="BC10" s="13" t="s">
        <v>100</v>
      </c>
      <c r="BD10" s="13">
        <v>0</v>
      </c>
      <c r="BE10" s="13">
        <v>1</v>
      </c>
      <c r="BF10" s="13"/>
      <c r="BG10" s="13"/>
      <c r="BH10" s="13"/>
      <c r="BI10" s="13"/>
      <c r="BJ10" s="13">
        <v>0</v>
      </c>
      <c r="BK10" s="13"/>
      <c r="BL10" s="13"/>
      <c r="BM10" s="13"/>
      <c r="BN10" s="13"/>
      <c r="BO10" s="13" t="s">
        <v>95</v>
      </c>
      <c r="BP10" s="13" t="s">
        <v>123</v>
      </c>
    </row>
    <row r="11" spans="1:68">
      <c r="A11" s="14">
        <v>45777</v>
      </c>
      <c r="B11" s="13"/>
      <c r="C11" s="13"/>
      <c r="D11" s="13"/>
      <c r="E11" s="13">
        <v>0</v>
      </c>
      <c r="F11" s="13" t="s">
        <v>80</v>
      </c>
      <c r="G11" s="13">
        <v>0</v>
      </c>
      <c r="H11" s="13">
        <v>1</v>
      </c>
      <c r="I11" s="13"/>
      <c r="J11" s="13">
        <v>5</v>
      </c>
      <c r="K11" s="13" t="s">
        <v>105</v>
      </c>
      <c r="L11" s="13" t="s">
        <v>77</v>
      </c>
      <c r="M11" s="13" t="s">
        <v>91</v>
      </c>
      <c r="N11" s="13"/>
      <c r="O11" s="13" t="s">
        <v>167</v>
      </c>
      <c r="P11" s="13" t="s">
        <v>83</v>
      </c>
      <c r="Q11" s="13">
        <v>2</v>
      </c>
      <c r="R11" s="13">
        <v>40</v>
      </c>
      <c r="S11" s="13"/>
      <c r="T11" s="13"/>
      <c r="U11" s="13"/>
      <c r="V11" s="13">
        <v>4</v>
      </c>
      <c r="W11" s="13" t="s">
        <v>97</v>
      </c>
      <c r="X11" s="13" t="s">
        <v>77</v>
      </c>
      <c r="Y11" s="13" t="s">
        <v>160</v>
      </c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>
        <v>53.8</v>
      </c>
      <c r="AQ11" s="13">
        <v>0</v>
      </c>
      <c r="AR11" s="13" t="s">
        <v>161</v>
      </c>
      <c r="AS11" s="13"/>
      <c r="AT11" s="13"/>
      <c r="AU11" s="13"/>
      <c r="AV11" s="13"/>
      <c r="AW11" s="13"/>
      <c r="AX11" s="13">
        <v>1</v>
      </c>
      <c r="AY11" s="13" t="s">
        <v>84</v>
      </c>
      <c r="AZ11" s="13" t="s">
        <v>83</v>
      </c>
      <c r="BA11" s="13">
        <v>2</v>
      </c>
      <c r="BB11" s="13" t="s">
        <v>142</v>
      </c>
      <c r="BC11" s="13">
        <v>0</v>
      </c>
      <c r="BD11" s="13">
        <v>0</v>
      </c>
      <c r="BE11" s="13" t="s">
        <v>147</v>
      </c>
      <c r="BF11" s="13">
        <v>0</v>
      </c>
      <c r="BG11" s="13"/>
      <c r="BH11" s="13"/>
      <c r="BI11" s="13"/>
      <c r="BJ11" s="13">
        <v>0</v>
      </c>
      <c r="BK11" s="13"/>
      <c r="BL11" s="13"/>
      <c r="BM11" s="13"/>
      <c r="BN11" s="13"/>
      <c r="BO11" s="13" t="s">
        <v>125</v>
      </c>
      <c r="BP11" s="13" t="s">
        <v>106</v>
      </c>
    </row>
    <row r="12" spans="1:68" ht="25.5">
      <c r="A12" s="14">
        <v>45777</v>
      </c>
      <c r="B12" s="13">
        <v>8.0399999999999991</v>
      </c>
      <c r="C12" s="13"/>
      <c r="D12" s="13">
        <v>0.1546153846153846</v>
      </c>
      <c r="E12" s="13">
        <v>1</v>
      </c>
      <c r="F12" s="13" t="s">
        <v>165</v>
      </c>
      <c r="G12" s="13">
        <v>0</v>
      </c>
      <c r="H12" s="13">
        <v>1</v>
      </c>
      <c r="I12" s="13"/>
      <c r="J12" s="13">
        <v>5</v>
      </c>
      <c r="K12" s="13" t="s">
        <v>133</v>
      </c>
      <c r="L12" s="13" t="s">
        <v>77</v>
      </c>
      <c r="M12" s="13" t="s">
        <v>111</v>
      </c>
      <c r="N12" s="13"/>
      <c r="O12" s="13" t="s">
        <v>166</v>
      </c>
      <c r="P12" s="13" t="s">
        <v>83</v>
      </c>
      <c r="Q12" s="13">
        <v>2</v>
      </c>
      <c r="R12" s="13">
        <v>50</v>
      </c>
      <c r="S12" s="13"/>
      <c r="T12" s="13"/>
      <c r="U12" s="13"/>
      <c r="V12" s="13"/>
      <c r="W12" s="13"/>
      <c r="X12" s="13" t="s">
        <v>72</v>
      </c>
      <c r="Y12" s="13" t="s">
        <v>82</v>
      </c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>
        <v>52</v>
      </c>
      <c r="AQ12" s="13">
        <v>0</v>
      </c>
      <c r="AR12" s="13" t="s">
        <v>161</v>
      </c>
      <c r="AS12" s="13"/>
      <c r="AT12" s="13"/>
      <c r="AU12" s="13"/>
      <c r="AV12" s="13"/>
      <c r="AW12" s="13"/>
      <c r="AX12" s="13">
        <v>1</v>
      </c>
      <c r="AY12" s="13" t="s">
        <v>84</v>
      </c>
      <c r="AZ12" s="13" t="s">
        <v>88</v>
      </c>
      <c r="BA12" s="13">
        <v>3</v>
      </c>
      <c r="BB12" s="13" t="s">
        <v>135</v>
      </c>
      <c r="BC12" s="13">
        <v>1</v>
      </c>
      <c r="BD12" s="13">
        <v>0</v>
      </c>
      <c r="BE12" s="13">
        <v>1</v>
      </c>
      <c r="BF12" s="13">
        <v>1</v>
      </c>
      <c r="BG12" s="13"/>
      <c r="BH12" s="13"/>
      <c r="BI12" s="13" t="s">
        <v>94</v>
      </c>
      <c r="BJ12" s="13">
        <v>1</v>
      </c>
      <c r="BK12" s="13" t="s">
        <v>76</v>
      </c>
      <c r="BL12" s="13" t="s">
        <v>94</v>
      </c>
      <c r="BM12" s="13" t="s">
        <v>76</v>
      </c>
      <c r="BN12" s="13"/>
      <c r="BO12" s="13" t="s">
        <v>95</v>
      </c>
      <c r="BP12" s="13" t="s">
        <v>106</v>
      </c>
    </row>
    <row r="13" spans="1:68">
      <c r="A13" s="14">
        <v>45784</v>
      </c>
      <c r="B13" s="13">
        <v>7.69</v>
      </c>
      <c r="C13" s="13"/>
      <c r="D13" s="13"/>
      <c r="E13" s="13">
        <v>0</v>
      </c>
      <c r="F13" s="13" t="s">
        <v>80</v>
      </c>
      <c r="G13" s="13">
        <v>0</v>
      </c>
      <c r="H13" s="13">
        <v>1</v>
      </c>
      <c r="I13" s="13"/>
      <c r="J13" s="13"/>
      <c r="K13" s="13"/>
      <c r="L13" s="13"/>
      <c r="M13" s="13"/>
      <c r="N13" s="13"/>
      <c r="O13" s="13"/>
      <c r="P13" s="13" t="s">
        <v>73</v>
      </c>
      <c r="Q13" s="13">
        <v>1</v>
      </c>
      <c r="R13" s="13">
        <v>5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>
        <v>1</v>
      </c>
      <c r="AY13" s="13" t="s">
        <v>84</v>
      </c>
      <c r="AZ13" s="13" t="s">
        <v>73</v>
      </c>
      <c r="BA13" s="13">
        <v>1</v>
      </c>
      <c r="BB13" s="13" t="s">
        <v>93</v>
      </c>
      <c r="BC13" s="13">
        <v>0</v>
      </c>
      <c r="BD13" s="13" t="s">
        <v>100</v>
      </c>
      <c r="BE13" s="13">
        <v>1</v>
      </c>
      <c r="BF13" s="13">
        <v>1</v>
      </c>
      <c r="BG13" s="13" t="s">
        <v>76</v>
      </c>
      <c r="BH13" s="13" t="s">
        <v>94</v>
      </c>
      <c r="BI13" s="13" t="s">
        <v>76</v>
      </c>
      <c r="BJ13" s="13">
        <v>0</v>
      </c>
      <c r="BK13" s="13"/>
      <c r="BL13" s="13"/>
      <c r="BM13" s="13"/>
      <c r="BN13" s="13"/>
      <c r="BO13" s="13" t="s">
        <v>125</v>
      </c>
      <c r="BP13" s="13" t="s">
        <v>96</v>
      </c>
    </row>
    <row r="14" spans="1:68">
      <c r="A14" s="14">
        <v>45798</v>
      </c>
      <c r="B14" s="13">
        <v>6</v>
      </c>
      <c r="C14" s="13"/>
      <c r="D14" s="13">
        <v>0.25</v>
      </c>
      <c r="E14" s="13">
        <v>0</v>
      </c>
      <c r="F14" s="13" t="s">
        <v>80</v>
      </c>
      <c r="G14" s="13">
        <v>0</v>
      </c>
      <c r="H14" s="13">
        <v>1</v>
      </c>
      <c r="I14" s="13">
        <v>2</v>
      </c>
      <c r="J14" s="13">
        <v>4</v>
      </c>
      <c r="K14" s="13" t="s">
        <v>97</v>
      </c>
      <c r="L14" s="13" t="s">
        <v>163</v>
      </c>
      <c r="M14" s="13" t="s">
        <v>112</v>
      </c>
      <c r="N14" s="13"/>
      <c r="O14" s="13" t="s">
        <v>128</v>
      </c>
      <c r="P14" s="13" t="s">
        <v>73</v>
      </c>
      <c r="Q14" s="13">
        <v>1</v>
      </c>
      <c r="R14" s="13">
        <v>13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>
        <v>24</v>
      </c>
      <c r="AQ14" s="13"/>
      <c r="AR14" s="13"/>
      <c r="AS14" s="13"/>
      <c r="AT14" s="13"/>
      <c r="AU14" s="13"/>
      <c r="AV14" s="13"/>
      <c r="AW14" s="13"/>
      <c r="AX14" s="13">
        <v>1</v>
      </c>
      <c r="AY14" s="13" t="s">
        <v>84</v>
      </c>
      <c r="AZ14" s="13" t="s">
        <v>73</v>
      </c>
      <c r="BA14" s="13">
        <v>1</v>
      </c>
      <c r="BB14" s="13">
        <v>2</v>
      </c>
      <c r="BC14" s="13">
        <v>0</v>
      </c>
      <c r="BD14" s="13" t="s">
        <v>100</v>
      </c>
      <c r="BE14" s="13">
        <v>1</v>
      </c>
      <c r="BF14" s="13">
        <v>0</v>
      </c>
      <c r="BG14" s="13"/>
      <c r="BH14" s="13"/>
      <c r="BI14" s="13"/>
      <c r="BJ14" s="13">
        <v>0</v>
      </c>
      <c r="BK14" s="13"/>
      <c r="BL14" s="13"/>
      <c r="BM14" s="13"/>
      <c r="BN14" s="13"/>
      <c r="BO14" s="13" t="s">
        <v>125</v>
      </c>
      <c r="BP14" s="13" t="s">
        <v>75</v>
      </c>
    </row>
    <row r="15" spans="1:68">
      <c r="A15" s="14">
        <v>45805</v>
      </c>
      <c r="B15" s="13">
        <v>10.01</v>
      </c>
      <c r="C15" s="13"/>
      <c r="D15" s="13">
        <v>0.25024999999999997</v>
      </c>
      <c r="E15" s="13">
        <v>0</v>
      </c>
      <c r="F15" s="13" t="s">
        <v>80</v>
      </c>
      <c r="G15" s="13">
        <v>0</v>
      </c>
      <c r="H15" s="13">
        <v>1</v>
      </c>
      <c r="I15" s="13">
        <v>2</v>
      </c>
      <c r="J15" s="13">
        <v>4</v>
      </c>
      <c r="K15" s="13" t="s">
        <v>97</v>
      </c>
      <c r="L15" s="13" t="s">
        <v>77</v>
      </c>
      <c r="M15" s="13" t="s">
        <v>87</v>
      </c>
      <c r="N15" s="13"/>
      <c r="O15" s="13" t="s">
        <v>138</v>
      </c>
      <c r="P15" s="13" t="s">
        <v>73</v>
      </c>
      <c r="Q15" s="13">
        <v>1</v>
      </c>
      <c r="R15" s="13"/>
      <c r="S15" s="13"/>
      <c r="T15" s="13"/>
      <c r="U15" s="13"/>
      <c r="V15" s="13">
        <v>4</v>
      </c>
      <c r="W15" s="13" t="s">
        <v>105</v>
      </c>
      <c r="X15" s="13" t="s">
        <v>77</v>
      </c>
      <c r="Y15" s="13" t="s">
        <v>91</v>
      </c>
      <c r="Z15" s="13"/>
      <c r="AA15" s="13" t="s">
        <v>73</v>
      </c>
      <c r="AB15" s="13">
        <v>1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>
        <v>40</v>
      </c>
      <c r="AQ15" s="13">
        <v>1</v>
      </c>
      <c r="AR15" s="13"/>
      <c r="AS15" s="13"/>
      <c r="AT15" s="13"/>
      <c r="AU15" s="13"/>
      <c r="AV15" s="13"/>
      <c r="AW15" s="13"/>
      <c r="AX15" s="13">
        <v>1</v>
      </c>
      <c r="AY15" s="13" t="s">
        <v>84</v>
      </c>
      <c r="AZ15" s="13" t="s">
        <v>83</v>
      </c>
      <c r="BA15" s="13">
        <v>2</v>
      </c>
      <c r="BB15" s="13" t="s">
        <v>142</v>
      </c>
      <c r="BC15" s="13" t="s">
        <v>100</v>
      </c>
      <c r="BD15" s="13">
        <v>0</v>
      </c>
      <c r="BE15" s="13">
        <v>1</v>
      </c>
      <c r="BF15" s="13"/>
      <c r="BG15" s="13"/>
      <c r="BH15" s="13"/>
      <c r="BI15" s="13"/>
      <c r="BJ15" s="13">
        <v>0</v>
      </c>
      <c r="BK15" s="13"/>
      <c r="BL15" s="13"/>
      <c r="BM15" s="13"/>
      <c r="BN15" s="13"/>
      <c r="BO15" s="13" t="s">
        <v>125</v>
      </c>
      <c r="BP15" s="13" t="s">
        <v>123</v>
      </c>
    </row>
    <row r="16" spans="1:68">
      <c r="A16" s="14">
        <v>45810</v>
      </c>
      <c r="B16" s="13">
        <v>11</v>
      </c>
      <c r="C16" s="13"/>
      <c r="D16" s="13">
        <v>0.5641025641025641</v>
      </c>
      <c r="E16" s="13">
        <v>1</v>
      </c>
      <c r="F16" s="13" t="s">
        <v>129</v>
      </c>
      <c r="G16" s="13"/>
      <c r="H16" s="13">
        <v>1</v>
      </c>
      <c r="I16" s="13"/>
      <c r="J16" s="13">
        <v>3</v>
      </c>
      <c r="K16" s="13" t="s">
        <v>162</v>
      </c>
      <c r="L16" s="13" t="s">
        <v>72</v>
      </c>
      <c r="M16" s="13" t="s">
        <v>116</v>
      </c>
      <c r="N16" s="13"/>
      <c r="O16" s="13" t="s">
        <v>114</v>
      </c>
      <c r="P16" s="13" t="s">
        <v>73</v>
      </c>
      <c r="Q16" s="13">
        <v>1</v>
      </c>
      <c r="R16" s="13">
        <v>42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>
        <v>19.5</v>
      </c>
      <c r="AQ16" s="13"/>
      <c r="AR16" s="13"/>
      <c r="AS16" s="13"/>
      <c r="AT16" s="13"/>
      <c r="AU16" s="13"/>
      <c r="AV16" s="13"/>
      <c r="AW16" s="13"/>
      <c r="AX16" s="13">
        <v>1</v>
      </c>
      <c r="AY16" s="13" t="s">
        <v>84</v>
      </c>
      <c r="AZ16" s="13" t="s">
        <v>73</v>
      </c>
      <c r="BA16" s="13">
        <v>1</v>
      </c>
      <c r="BB16" s="13">
        <v>2</v>
      </c>
      <c r="BC16" s="13" t="s">
        <v>100</v>
      </c>
      <c r="BD16" s="13" t="s">
        <v>100</v>
      </c>
      <c r="BE16" s="13">
        <v>1</v>
      </c>
      <c r="BF16" s="13">
        <v>0</v>
      </c>
      <c r="BG16" s="13"/>
      <c r="BH16" s="13"/>
      <c r="BI16" s="13"/>
      <c r="BJ16" s="13">
        <v>0</v>
      </c>
      <c r="BK16" s="13"/>
      <c r="BL16" s="13"/>
      <c r="BM16" s="13"/>
      <c r="BN16" s="13"/>
      <c r="BO16" s="13" t="s">
        <v>95</v>
      </c>
      <c r="BP16" s="13" t="s">
        <v>96</v>
      </c>
    </row>
    <row r="17" spans="1:68">
      <c r="A17" s="14">
        <v>45817</v>
      </c>
      <c r="B17" s="13">
        <v>17</v>
      </c>
      <c r="C17" s="13"/>
      <c r="D17" s="13">
        <v>0.24709302325581398</v>
      </c>
      <c r="E17" s="13">
        <v>0</v>
      </c>
      <c r="F17" s="13" t="s">
        <v>80</v>
      </c>
      <c r="G17" s="13">
        <v>0</v>
      </c>
      <c r="H17" s="13">
        <v>1</v>
      </c>
      <c r="I17" s="13"/>
      <c r="J17" s="13">
        <v>5</v>
      </c>
      <c r="K17" s="13" t="s">
        <v>97</v>
      </c>
      <c r="L17" s="13" t="s">
        <v>72</v>
      </c>
      <c r="M17" s="13" t="s">
        <v>112</v>
      </c>
      <c r="N17" s="13"/>
      <c r="O17" s="13" t="s">
        <v>121</v>
      </c>
      <c r="P17" s="13" t="s">
        <v>83</v>
      </c>
      <c r="Q17" s="13">
        <v>2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>
        <v>68.8</v>
      </c>
      <c r="AQ17" s="13"/>
      <c r="AR17" s="13"/>
      <c r="AS17" s="13"/>
      <c r="AT17" s="13"/>
      <c r="AU17" s="13"/>
      <c r="AV17" s="13"/>
      <c r="AW17" s="13"/>
      <c r="AX17" s="13">
        <v>1</v>
      </c>
      <c r="AY17" s="13" t="s">
        <v>84</v>
      </c>
      <c r="AZ17" s="13" t="s">
        <v>73</v>
      </c>
      <c r="BA17" s="13">
        <v>1</v>
      </c>
      <c r="BB17" s="13">
        <v>2</v>
      </c>
      <c r="BC17" s="13" t="s">
        <v>100</v>
      </c>
      <c r="BD17" s="13">
        <v>0</v>
      </c>
      <c r="BE17" s="13">
        <v>1</v>
      </c>
      <c r="BF17" s="13">
        <v>1</v>
      </c>
      <c r="BG17" s="13" t="s">
        <v>94</v>
      </c>
      <c r="BH17" s="13" t="s">
        <v>76</v>
      </c>
      <c r="BI17" s="13" t="s">
        <v>76</v>
      </c>
      <c r="BJ17" s="13">
        <v>0</v>
      </c>
      <c r="BK17" s="13"/>
      <c r="BL17" s="13"/>
      <c r="BM17" s="13"/>
      <c r="BN17" s="13"/>
      <c r="BO17" s="13" t="s">
        <v>125</v>
      </c>
      <c r="BP17" s="13" t="s">
        <v>106</v>
      </c>
    </row>
    <row r="18" spans="1:68">
      <c r="A18" s="14">
        <v>45833</v>
      </c>
      <c r="B18" s="13">
        <v>4.08</v>
      </c>
      <c r="C18" s="13"/>
      <c r="D18" s="13">
        <v>7.2987477638640427E-2</v>
      </c>
      <c r="E18" s="13">
        <v>1</v>
      </c>
      <c r="F18" s="13" t="s">
        <v>129</v>
      </c>
      <c r="G18" s="13">
        <v>0</v>
      </c>
      <c r="H18" s="13">
        <v>1</v>
      </c>
      <c r="I18" s="13"/>
      <c r="J18" s="13">
        <v>5</v>
      </c>
      <c r="K18" s="13" t="s">
        <v>81</v>
      </c>
      <c r="L18" s="13" t="s">
        <v>72</v>
      </c>
      <c r="M18" s="13" t="s">
        <v>78</v>
      </c>
      <c r="N18" s="13"/>
      <c r="O18" s="13" t="s">
        <v>137</v>
      </c>
      <c r="P18" s="13" t="s">
        <v>83</v>
      </c>
      <c r="Q18" s="13">
        <v>2</v>
      </c>
      <c r="R18" s="13">
        <v>100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>
        <v>55.9</v>
      </c>
      <c r="AQ18" s="13">
        <v>1</v>
      </c>
      <c r="AR18" s="13"/>
      <c r="AS18" s="13"/>
      <c r="AT18" s="13"/>
      <c r="AU18" s="13"/>
      <c r="AV18" s="13"/>
      <c r="AW18" s="13"/>
      <c r="AX18" s="13">
        <v>1</v>
      </c>
      <c r="AY18" s="13" t="s">
        <v>84</v>
      </c>
      <c r="AZ18" s="13" t="s">
        <v>83</v>
      </c>
      <c r="BA18" s="13">
        <v>2</v>
      </c>
      <c r="BB18" s="13" t="s">
        <v>93</v>
      </c>
      <c r="BC18" s="13" t="s">
        <v>100</v>
      </c>
      <c r="BD18" s="13">
        <v>0</v>
      </c>
      <c r="BE18" s="13">
        <v>1</v>
      </c>
      <c r="BF18" s="13">
        <v>1</v>
      </c>
      <c r="BG18" s="13" t="s">
        <v>94</v>
      </c>
      <c r="BH18" s="13" t="s">
        <v>76</v>
      </c>
      <c r="BI18" s="13" t="s">
        <v>76</v>
      </c>
      <c r="BJ18" s="13">
        <v>0</v>
      </c>
      <c r="BK18" s="13"/>
      <c r="BL18" s="13"/>
      <c r="BM18" s="13"/>
      <c r="BN18" s="13"/>
      <c r="BO18" s="13" t="s">
        <v>125</v>
      </c>
      <c r="BP18" s="13" t="s">
        <v>106</v>
      </c>
    </row>
    <row r="19" spans="1:68">
      <c r="A19" s="14">
        <v>45819</v>
      </c>
      <c r="B19" s="13">
        <v>7.49</v>
      </c>
      <c r="C19" s="13"/>
      <c r="D19" s="13">
        <v>0.16644444444444445</v>
      </c>
      <c r="E19" s="13">
        <v>1</v>
      </c>
      <c r="F19" s="13" t="s">
        <v>86</v>
      </c>
      <c r="G19" s="13">
        <v>0</v>
      </c>
      <c r="H19" s="13">
        <v>1</v>
      </c>
      <c r="I19" s="13"/>
      <c r="J19" s="13">
        <v>4</v>
      </c>
      <c r="K19" s="13" t="s">
        <v>162</v>
      </c>
      <c r="L19" s="13"/>
      <c r="M19" s="13" t="s">
        <v>78</v>
      </c>
      <c r="N19" s="13"/>
      <c r="O19" s="13"/>
      <c r="P19" s="13" t="s">
        <v>83</v>
      </c>
      <c r="Q19" s="13">
        <v>2</v>
      </c>
      <c r="R19" s="13">
        <v>80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>
        <v>45</v>
      </c>
      <c r="AQ19" s="13"/>
      <c r="AR19" s="13"/>
      <c r="AS19" s="13"/>
      <c r="AT19" s="13"/>
      <c r="AU19" s="13"/>
      <c r="AV19" s="13"/>
      <c r="AW19" s="13"/>
      <c r="AX19" s="13">
        <v>1</v>
      </c>
      <c r="AY19" s="13" t="s">
        <v>84</v>
      </c>
      <c r="AZ19" s="13" t="s">
        <v>83</v>
      </c>
      <c r="BA19" s="13">
        <v>2</v>
      </c>
      <c r="BB19" s="13" t="s">
        <v>135</v>
      </c>
      <c r="BC19" s="13">
        <v>0</v>
      </c>
      <c r="BD19" s="13" t="s">
        <v>100</v>
      </c>
      <c r="BE19" s="13">
        <v>1</v>
      </c>
      <c r="BF19" s="13">
        <v>1</v>
      </c>
      <c r="BG19" s="13" t="s">
        <v>76</v>
      </c>
      <c r="BH19" s="13" t="s">
        <v>94</v>
      </c>
      <c r="BI19" s="13" t="s">
        <v>76</v>
      </c>
      <c r="BJ19" s="13">
        <v>1</v>
      </c>
      <c r="BK19" s="13" t="s">
        <v>94</v>
      </c>
      <c r="BL19" s="13" t="s">
        <v>76</v>
      </c>
      <c r="BM19" s="13" t="s">
        <v>76</v>
      </c>
      <c r="BN19" s="13"/>
      <c r="BO19" s="13" t="s">
        <v>125</v>
      </c>
      <c r="BP19" s="13" t="s">
        <v>96</v>
      </c>
    </row>
    <row r="20" spans="1:68">
      <c r="A20" s="14">
        <v>45831</v>
      </c>
      <c r="B20" s="13">
        <v>12</v>
      </c>
      <c r="C20" s="13"/>
      <c r="D20" s="13">
        <v>0.48</v>
      </c>
      <c r="E20" s="13">
        <v>1</v>
      </c>
      <c r="F20" s="13" t="s">
        <v>129</v>
      </c>
      <c r="G20" s="13">
        <v>1</v>
      </c>
      <c r="H20" s="13">
        <v>1</v>
      </c>
      <c r="I20" s="13">
        <v>3</v>
      </c>
      <c r="J20" s="13">
        <v>5</v>
      </c>
      <c r="K20" s="13"/>
      <c r="L20" s="13" t="s">
        <v>77</v>
      </c>
      <c r="M20" s="13" t="s">
        <v>160</v>
      </c>
      <c r="N20" s="13"/>
      <c r="O20" s="13" t="s">
        <v>121</v>
      </c>
      <c r="P20" s="13" t="s">
        <v>83</v>
      </c>
      <c r="Q20" s="13">
        <v>2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>
        <v>25</v>
      </c>
      <c r="AQ20" s="13">
        <v>0</v>
      </c>
      <c r="AR20" s="13" t="s">
        <v>161</v>
      </c>
      <c r="AS20" s="13"/>
      <c r="AT20" s="13"/>
      <c r="AU20" s="13"/>
      <c r="AV20" s="13"/>
      <c r="AW20" s="13"/>
      <c r="AX20" s="13">
        <v>1</v>
      </c>
      <c r="AY20" s="13" t="s">
        <v>84</v>
      </c>
      <c r="AZ20" s="13" t="s">
        <v>124</v>
      </c>
      <c r="BA20" s="13">
        <v>5</v>
      </c>
      <c r="BB20" s="13" t="s">
        <v>135</v>
      </c>
      <c r="BC20" s="13">
        <v>0</v>
      </c>
      <c r="BD20" s="13" t="s">
        <v>100</v>
      </c>
      <c r="BE20" s="13" t="s">
        <v>147</v>
      </c>
      <c r="BF20" s="13">
        <v>1</v>
      </c>
      <c r="BG20" s="13"/>
      <c r="BH20" s="13"/>
      <c r="BI20" s="13" t="s">
        <v>94</v>
      </c>
      <c r="BJ20" s="13">
        <v>0</v>
      </c>
      <c r="BK20" s="13"/>
      <c r="BL20" s="13"/>
      <c r="BM20" s="13"/>
      <c r="BN20" s="13"/>
      <c r="BO20" s="13" t="s">
        <v>95</v>
      </c>
      <c r="BP20" s="13" t="s">
        <v>145</v>
      </c>
    </row>
    <row r="21" spans="1:68" ht="25.5">
      <c r="A21" s="14">
        <v>45854</v>
      </c>
      <c r="B21" s="13">
        <v>12</v>
      </c>
      <c r="C21" s="13"/>
      <c r="D21" s="13">
        <v>0.29197080291970801</v>
      </c>
      <c r="E21" s="13">
        <v>1</v>
      </c>
      <c r="F21" s="13" t="s">
        <v>86</v>
      </c>
      <c r="G21" s="13">
        <v>0</v>
      </c>
      <c r="H21" s="13">
        <v>1</v>
      </c>
      <c r="I21" s="13">
        <v>3</v>
      </c>
      <c r="J21" s="13">
        <v>5</v>
      </c>
      <c r="K21" s="13" t="s">
        <v>148</v>
      </c>
      <c r="L21" s="13" t="s">
        <v>72</v>
      </c>
      <c r="M21" s="13" t="s">
        <v>150</v>
      </c>
      <c r="N21" s="13"/>
      <c r="O21" s="13" t="s">
        <v>157</v>
      </c>
      <c r="P21" s="13" t="s">
        <v>73</v>
      </c>
      <c r="Q21" s="13">
        <v>1</v>
      </c>
      <c r="R21" s="13">
        <v>80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>
        <v>41.1</v>
      </c>
      <c r="AQ21" s="13">
        <v>0</v>
      </c>
      <c r="AR21" s="13"/>
      <c r="AS21" s="13"/>
      <c r="AT21" s="13"/>
      <c r="AU21" s="13"/>
      <c r="AV21" s="13"/>
      <c r="AW21" s="13"/>
      <c r="AX21" s="13">
        <v>1</v>
      </c>
      <c r="AY21" s="13" t="s">
        <v>84</v>
      </c>
      <c r="AZ21" s="13" t="s">
        <v>73</v>
      </c>
      <c r="BA21" s="13">
        <v>1</v>
      </c>
      <c r="BB21" s="13" t="s">
        <v>93</v>
      </c>
      <c r="BC21" s="13" t="s">
        <v>100</v>
      </c>
      <c r="BD21" s="13">
        <v>0</v>
      </c>
      <c r="BE21" s="13" t="s">
        <v>147</v>
      </c>
      <c r="BF21" s="13">
        <v>1</v>
      </c>
      <c r="BG21" s="13"/>
      <c r="BH21" s="13"/>
      <c r="BI21" s="13" t="s">
        <v>94</v>
      </c>
      <c r="BJ21" s="13">
        <v>0</v>
      </c>
      <c r="BK21" s="13"/>
      <c r="BL21" s="13"/>
      <c r="BM21" s="13"/>
      <c r="BN21" s="13"/>
      <c r="BO21" s="13" t="s">
        <v>95</v>
      </c>
      <c r="BP21" s="13" t="s">
        <v>106</v>
      </c>
    </row>
    <row r="22" spans="1:68" ht="25.5">
      <c r="A22" s="14">
        <v>45861</v>
      </c>
      <c r="B22" s="13">
        <v>12</v>
      </c>
      <c r="C22" s="13"/>
      <c r="D22" s="13">
        <v>0.30534351145038169</v>
      </c>
      <c r="E22" s="13">
        <v>1</v>
      </c>
      <c r="F22" s="13" t="s">
        <v>129</v>
      </c>
      <c r="G22" s="13">
        <v>0</v>
      </c>
      <c r="H22" s="13">
        <v>1</v>
      </c>
      <c r="I22" s="13"/>
      <c r="J22" s="13">
        <v>4</v>
      </c>
      <c r="K22" s="13" t="s">
        <v>97</v>
      </c>
      <c r="L22" s="13" t="s">
        <v>72</v>
      </c>
      <c r="M22" s="13" t="s">
        <v>146</v>
      </c>
      <c r="N22" s="13"/>
      <c r="O22" s="13" t="s">
        <v>155</v>
      </c>
      <c r="P22" s="13" t="s">
        <v>83</v>
      </c>
      <c r="Q22" s="13">
        <v>2</v>
      </c>
      <c r="R22" s="13">
        <v>100</v>
      </c>
      <c r="S22" s="13"/>
      <c r="T22" s="13"/>
      <c r="U22" s="13"/>
      <c r="V22" s="13">
        <v>4</v>
      </c>
      <c r="W22" s="13" t="s">
        <v>97</v>
      </c>
      <c r="X22" s="13" t="s">
        <v>72</v>
      </c>
      <c r="Y22" s="13" t="s">
        <v>150</v>
      </c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>
        <v>39.299999999999997</v>
      </c>
      <c r="AQ22" s="13">
        <v>1</v>
      </c>
      <c r="AR22" s="13"/>
      <c r="AS22" s="13"/>
      <c r="AT22" s="13"/>
      <c r="AU22" s="13"/>
      <c r="AV22" s="13"/>
      <c r="AW22" s="13"/>
      <c r="AX22" s="13">
        <v>1</v>
      </c>
      <c r="AY22" s="13" t="s">
        <v>84</v>
      </c>
      <c r="AZ22" s="13" t="s">
        <v>152</v>
      </c>
      <c r="BA22" s="13">
        <v>4</v>
      </c>
      <c r="BB22" s="13" t="s">
        <v>135</v>
      </c>
      <c r="BC22" s="13">
        <v>0</v>
      </c>
      <c r="BD22" s="13" t="s">
        <v>100</v>
      </c>
      <c r="BE22" s="13">
        <v>1</v>
      </c>
      <c r="BF22" s="13">
        <v>1</v>
      </c>
      <c r="BG22" s="13" t="s">
        <v>76</v>
      </c>
      <c r="BH22" s="13" t="s">
        <v>94</v>
      </c>
      <c r="BI22" s="13" t="s">
        <v>76</v>
      </c>
      <c r="BJ22" s="13">
        <v>1</v>
      </c>
      <c r="BK22" s="13" t="s">
        <v>76</v>
      </c>
      <c r="BL22" s="13" t="s">
        <v>94</v>
      </c>
      <c r="BM22" s="13" t="s">
        <v>76</v>
      </c>
      <c r="BN22" s="13"/>
      <c r="BO22" s="13" t="s">
        <v>125</v>
      </c>
      <c r="BP22" s="13" t="s">
        <v>96</v>
      </c>
    </row>
    <row r="23" spans="1:68" ht="25.5">
      <c r="A23" s="14">
        <v>45868</v>
      </c>
      <c r="B23" s="13">
        <v>4.28</v>
      </c>
      <c r="C23" s="13"/>
      <c r="D23" s="13">
        <v>0.15285714285714286</v>
      </c>
      <c r="E23" s="13">
        <v>1</v>
      </c>
      <c r="F23" s="13" t="s">
        <v>70</v>
      </c>
      <c r="G23" s="13">
        <v>0</v>
      </c>
      <c r="H23" s="13">
        <v>1</v>
      </c>
      <c r="I23" s="13"/>
      <c r="J23" s="13">
        <v>4</v>
      </c>
      <c r="K23" s="13" t="s">
        <v>97</v>
      </c>
      <c r="L23" s="13" t="s">
        <v>72</v>
      </c>
      <c r="M23" s="13" t="s">
        <v>150</v>
      </c>
      <c r="N23" s="13"/>
      <c r="O23" s="13" t="s">
        <v>98</v>
      </c>
      <c r="P23" s="13" t="s">
        <v>73</v>
      </c>
      <c r="Q23" s="13">
        <v>1</v>
      </c>
      <c r="R23" s="13">
        <v>50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>
        <v>28</v>
      </c>
      <c r="AQ23" s="13">
        <v>1</v>
      </c>
      <c r="AR23" s="13"/>
      <c r="AS23" s="13"/>
      <c r="AT23" s="13"/>
      <c r="AU23" s="13"/>
      <c r="AV23" s="13"/>
      <c r="AW23" s="13"/>
      <c r="AX23" s="13">
        <v>1</v>
      </c>
      <c r="AY23" s="13" t="s">
        <v>84</v>
      </c>
      <c r="AZ23" s="13" t="s">
        <v>83</v>
      </c>
      <c r="BA23" s="13">
        <v>2</v>
      </c>
      <c r="BB23" s="13">
        <v>2</v>
      </c>
      <c r="BC23" s="13" t="s">
        <v>100</v>
      </c>
      <c r="BD23" s="13">
        <v>0</v>
      </c>
      <c r="BE23" s="13">
        <v>1</v>
      </c>
      <c r="BF23" s="13">
        <v>0</v>
      </c>
      <c r="BG23" s="13"/>
      <c r="BH23" s="13"/>
      <c r="BI23" s="13"/>
      <c r="BJ23" s="13">
        <v>0</v>
      </c>
      <c r="BK23" s="13"/>
      <c r="BL23" s="13"/>
      <c r="BM23" s="13"/>
      <c r="BN23" s="13"/>
      <c r="BO23" s="13" t="s">
        <v>95</v>
      </c>
      <c r="BP23" s="13" t="s">
        <v>96</v>
      </c>
    </row>
    <row r="24" spans="1:68">
      <c r="A24" s="14">
        <v>45873</v>
      </c>
      <c r="B24" s="13">
        <v>12</v>
      </c>
      <c r="C24" s="13"/>
      <c r="D24" s="13">
        <v>0.4</v>
      </c>
      <c r="E24" s="13">
        <v>1</v>
      </c>
      <c r="F24" s="13" t="s">
        <v>70</v>
      </c>
      <c r="G24" s="13">
        <v>0</v>
      </c>
      <c r="H24" s="13">
        <v>1</v>
      </c>
      <c r="I24" s="13"/>
      <c r="J24" s="13" t="s">
        <v>143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>
        <v>30</v>
      </c>
      <c r="AQ24" s="13" t="s">
        <v>143</v>
      </c>
      <c r="AR24" s="13"/>
      <c r="AS24" s="13"/>
      <c r="AT24" s="13"/>
      <c r="AU24" s="13"/>
      <c r="AV24" s="13"/>
      <c r="AW24" s="13"/>
      <c r="AX24" s="13">
        <v>1</v>
      </c>
      <c r="AY24" s="13" t="s">
        <v>84</v>
      </c>
      <c r="AZ24" s="13" t="s">
        <v>83</v>
      </c>
      <c r="BA24" s="13">
        <v>2</v>
      </c>
      <c r="BB24" s="13">
        <v>2</v>
      </c>
      <c r="BC24" s="13" t="s">
        <v>100</v>
      </c>
      <c r="BD24" s="13">
        <v>0</v>
      </c>
      <c r="BE24" s="13" t="s">
        <v>147</v>
      </c>
      <c r="BF24" s="13">
        <v>0</v>
      </c>
      <c r="BG24" s="13"/>
      <c r="BH24" s="13"/>
      <c r="BI24" s="13"/>
      <c r="BJ24" s="13">
        <v>0</v>
      </c>
      <c r="BK24" s="13"/>
      <c r="BL24" s="13"/>
      <c r="BM24" s="13"/>
      <c r="BN24" s="13"/>
      <c r="BO24" s="13" t="s">
        <v>125</v>
      </c>
      <c r="BP24" s="13" t="s">
        <v>145</v>
      </c>
    </row>
    <row r="25" spans="1:68">
      <c r="A25" s="14">
        <v>45887</v>
      </c>
      <c r="B25" s="13">
        <v>13.6</v>
      </c>
      <c r="C25" s="13"/>
      <c r="D25" s="13">
        <v>0.39999999999999997</v>
      </c>
      <c r="E25" s="13">
        <v>1</v>
      </c>
      <c r="F25" s="13" t="s">
        <v>89</v>
      </c>
      <c r="G25" s="13">
        <v>0</v>
      </c>
      <c r="H25" s="13">
        <v>1</v>
      </c>
      <c r="I25" s="13"/>
      <c r="J25" s="13">
        <v>5</v>
      </c>
      <c r="K25" s="13" t="s">
        <v>141</v>
      </c>
      <c r="L25" s="13" t="s">
        <v>77</v>
      </c>
      <c r="M25" s="13" t="s">
        <v>78</v>
      </c>
      <c r="N25" s="13"/>
      <c r="O25" s="13" t="s">
        <v>102</v>
      </c>
      <c r="P25" s="13" t="s">
        <v>83</v>
      </c>
      <c r="Q25" s="13">
        <v>2</v>
      </c>
      <c r="R25" s="13"/>
      <c r="S25" s="13"/>
      <c r="T25" s="13"/>
      <c r="U25" s="13"/>
      <c r="V25" s="13">
        <v>4</v>
      </c>
      <c r="W25" s="13"/>
      <c r="X25" s="13" t="s">
        <v>72</v>
      </c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>
        <v>34</v>
      </c>
      <c r="AQ25" s="13"/>
      <c r="AR25" s="13"/>
      <c r="AS25" s="13"/>
      <c r="AT25" s="13"/>
      <c r="AU25" s="13"/>
      <c r="AV25" s="13"/>
      <c r="AW25" s="13"/>
      <c r="AX25" s="13">
        <v>1</v>
      </c>
      <c r="AY25" s="13" t="s">
        <v>84</v>
      </c>
      <c r="AZ25" s="13" t="s">
        <v>140</v>
      </c>
      <c r="BA25" s="13">
        <v>5</v>
      </c>
      <c r="BB25" s="13" t="s">
        <v>135</v>
      </c>
      <c r="BC25" s="13" t="s">
        <v>100</v>
      </c>
      <c r="BD25" s="13">
        <v>0</v>
      </c>
      <c r="BE25" s="13">
        <v>1</v>
      </c>
      <c r="BF25" s="13">
        <v>1</v>
      </c>
      <c r="BG25" s="13"/>
      <c r="BH25" s="13"/>
      <c r="BI25" s="13" t="s">
        <v>94</v>
      </c>
      <c r="BJ25" s="13">
        <v>1</v>
      </c>
      <c r="BK25" s="13"/>
      <c r="BL25" s="13"/>
      <c r="BM25" s="13" t="s">
        <v>94</v>
      </c>
      <c r="BN25" s="13"/>
      <c r="BO25" s="13" t="s">
        <v>125</v>
      </c>
      <c r="BP25" s="13" t="s">
        <v>106</v>
      </c>
    </row>
    <row r="26" spans="1:68" ht="25.5">
      <c r="A26" s="14">
        <v>45903</v>
      </c>
      <c r="B26" s="13">
        <v>8.1999999999999993</v>
      </c>
      <c r="C26" s="13"/>
      <c r="D26" s="13">
        <v>0.22777777777777775</v>
      </c>
      <c r="E26" s="13">
        <v>0</v>
      </c>
      <c r="F26" s="13" t="s">
        <v>80</v>
      </c>
      <c r="G26" s="13"/>
      <c r="H26" s="13">
        <v>1</v>
      </c>
      <c r="I26" s="13"/>
      <c r="J26" s="13">
        <v>5</v>
      </c>
      <c r="K26" s="13" t="s">
        <v>136</v>
      </c>
      <c r="L26" s="13" t="s">
        <v>77</v>
      </c>
      <c r="M26" s="13"/>
      <c r="N26" s="13"/>
      <c r="O26" s="13" t="s">
        <v>137</v>
      </c>
      <c r="P26" s="13" t="s">
        <v>73</v>
      </c>
      <c r="Q26" s="13">
        <v>1</v>
      </c>
      <c r="R26" s="13">
        <v>80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>
        <v>36</v>
      </c>
      <c r="AQ26" s="13"/>
      <c r="AR26" s="13"/>
      <c r="AS26" s="13"/>
      <c r="AT26" s="13"/>
      <c r="AU26" s="13"/>
      <c r="AV26" s="13"/>
      <c r="AW26" s="13"/>
      <c r="AX26" s="13">
        <v>1</v>
      </c>
      <c r="AY26" s="13" t="s">
        <v>84</v>
      </c>
      <c r="AZ26" s="13" t="s">
        <v>124</v>
      </c>
      <c r="BA26" s="13">
        <v>5</v>
      </c>
      <c r="BB26" s="13" t="s">
        <v>135</v>
      </c>
      <c r="BC26" s="13" t="s">
        <v>100</v>
      </c>
      <c r="BD26" s="13">
        <v>0</v>
      </c>
      <c r="BE26" s="13">
        <v>1</v>
      </c>
      <c r="BF26" s="13">
        <v>1</v>
      </c>
      <c r="BG26" s="13" t="s">
        <v>76</v>
      </c>
      <c r="BH26" s="13" t="s">
        <v>94</v>
      </c>
      <c r="BI26" s="13" t="s">
        <v>76</v>
      </c>
      <c r="BJ26" s="13">
        <v>1</v>
      </c>
      <c r="BK26" s="13" t="s">
        <v>76</v>
      </c>
      <c r="BL26" s="13" t="s">
        <v>94</v>
      </c>
      <c r="BM26" s="13" t="s">
        <v>76</v>
      </c>
      <c r="BN26" s="13"/>
      <c r="BO26" s="13" t="s">
        <v>95</v>
      </c>
      <c r="BP26" s="13" t="s">
        <v>106</v>
      </c>
    </row>
    <row r="27" spans="1:68">
      <c r="A27" s="14">
        <v>45903</v>
      </c>
      <c r="B27" s="13">
        <v>4.95</v>
      </c>
      <c r="C27" s="13"/>
      <c r="D27" s="13">
        <v>0.1767857142857143</v>
      </c>
      <c r="E27" s="13">
        <v>0</v>
      </c>
      <c r="F27" s="13"/>
      <c r="G27" s="13">
        <v>0</v>
      </c>
      <c r="H27" s="13">
        <v>1</v>
      </c>
      <c r="I27" s="13"/>
      <c r="J27" s="13"/>
      <c r="K27" s="13" t="s">
        <v>97</v>
      </c>
      <c r="L27" s="13" t="s">
        <v>77</v>
      </c>
      <c r="M27" s="13" t="s">
        <v>91</v>
      </c>
      <c r="N27" s="13"/>
      <c r="O27" s="13" t="s">
        <v>110</v>
      </c>
      <c r="P27" s="13" t="s">
        <v>73</v>
      </c>
      <c r="Q27" s="13">
        <v>1</v>
      </c>
      <c r="R27" s="13">
        <v>40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>
        <v>28</v>
      </c>
      <c r="AQ27" s="13">
        <v>0</v>
      </c>
      <c r="AR27" s="13" t="s">
        <v>77</v>
      </c>
      <c r="AS27" s="13"/>
      <c r="AT27" s="13"/>
      <c r="AU27" s="13"/>
      <c r="AV27" s="13"/>
      <c r="AW27" s="13"/>
      <c r="AX27" s="13">
        <v>1</v>
      </c>
      <c r="AY27" s="13" t="s">
        <v>84</v>
      </c>
      <c r="AZ27" s="13" t="s">
        <v>83</v>
      </c>
      <c r="BA27" s="13">
        <v>2</v>
      </c>
      <c r="BB27" s="13" t="s">
        <v>93</v>
      </c>
      <c r="BC27" s="13">
        <v>0</v>
      </c>
      <c r="BD27" s="13">
        <v>0</v>
      </c>
      <c r="BE27" s="13">
        <v>1</v>
      </c>
      <c r="BF27" s="13">
        <v>1</v>
      </c>
      <c r="BG27" s="13" t="s">
        <v>76</v>
      </c>
      <c r="BH27" s="13" t="s">
        <v>94</v>
      </c>
      <c r="BI27" s="13" t="s">
        <v>76</v>
      </c>
      <c r="BJ27" s="13">
        <v>0</v>
      </c>
      <c r="BK27" s="13"/>
      <c r="BL27" s="13"/>
      <c r="BM27" s="13"/>
      <c r="BN27" s="13"/>
      <c r="BO27" s="13" t="s">
        <v>95</v>
      </c>
      <c r="BP27" s="13" t="s">
        <v>75</v>
      </c>
    </row>
    <row r="28" spans="1:68" ht="25.5">
      <c r="A28" s="14">
        <v>45910</v>
      </c>
      <c r="B28" s="13">
        <v>5.4</v>
      </c>
      <c r="C28" s="13"/>
      <c r="D28" s="13">
        <v>9.818181818181819E-2</v>
      </c>
      <c r="E28" s="13">
        <v>1</v>
      </c>
      <c r="F28" s="13" t="s">
        <v>70</v>
      </c>
      <c r="G28" s="13">
        <v>0</v>
      </c>
      <c r="H28" s="13">
        <v>1</v>
      </c>
      <c r="I28" s="13"/>
      <c r="J28" s="13">
        <v>5</v>
      </c>
      <c r="K28" s="13" t="s">
        <v>133</v>
      </c>
      <c r="L28" s="13" t="s">
        <v>72</v>
      </c>
      <c r="M28" s="13"/>
      <c r="N28" s="13"/>
      <c r="O28" s="13" t="s">
        <v>134</v>
      </c>
      <c r="P28" s="13" t="s">
        <v>73</v>
      </c>
      <c r="Q28" s="13">
        <v>1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>
        <v>55</v>
      </c>
      <c r="AQ28" s="13">
        <v>0</v>
      </c>
      <c r="AR28" s="13" t="s">
        <v>72</v>
      </c>
      <c r="AS28" s="13"/>
      <c r="AT28" s="13"/>
      <c r="AU28" s="13"/>
      <c r="AV28" s="13"/>
      <c r="AW28" s="13"/>
      <c r="AX28" s="13">
        <v>1</v>
      </c>
      <c r="AY28" s="13" t="s">
        <v>84</v>
      </c>
      <c r="AZ28" s="13" t="s">
        <v>83</v>
      </c>
      <c r="BA28" s="13">
        <v>2</v>
      </c>
      <c r="BB28" s="13" t="s">
        <v>93</v>
      </c>
      <c r="BC28" s="13" t="s">
        <v>100</v>
      </c>
      <c r="BD28" s="13">
        <v>0</v>
      </c>
      <c r="BE28" s="13">
        <v>1</v>
      </c>
      <c r="BF28" s="13">
        <v>1</v>
      </c>
      <c r="BG28" s="13" t="s">
        <v>94</v>
      </c>
      <c r="BH28" s="13" t="s">
        <v>76</v>
      </c>
      <c r="BI28" s="13" t="s">
        <v>76</v>
      </c>
      <c r="BJ28" s="13">
        <v>0</v>
      </c>
      <c r="BK28" s="13"/>
      <c r="BL28" s="13"/>
      <c r="BM28" s="13"/>
      <c r="BN28" s="13"/>
      <c r="BO28" s="13" t="s">
        <v>95</v>
      </c>
      <c r="BP28" s="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 1</vt:lpstr>
      <vt:lpstr>dodatnie marginesy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Marcin P</cp:lastModifiedBy>
  <dcterms:created xsi:type="dcterms:W3CDTF">2025-11-13T18:46:57Z</dcterms:created>
  <dcterms:modified xsi:type="dcterms:W3CDTF">2025-11-19T23:26:03Z</dcterms:modified>
</cp:coreProperties>
</file>