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an\Desktop\Doktor baza danych mri\MRI\anonymized\"/>
    </mc:Choice>
  </mc:AlternateContent>
  <xr:revisionPtr revIDLastSave="0" documentId="13_ncr:1_{78AC567E-5285-4CD4-9045-DDF7B08FC1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7" i="1" l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<sst xmlns="http://schemas.openxmlformats.org/spreadsheetml/2006/main" count="935" uniqueCount="511">
  <si>
    <t>NEW IDENTIFIER</t>
  </si>
  <si>
    <t>wiek</t>
  </si>
  <si>
    <t>PSA</t>
  </si>
  <si>
    <t>data operacji</t>
  </si>
  <si>
    <t>PSAdensity</t>
  </si>
  <si>
    <t xml:space="preserve">Prostate vol </t>
  </si>
  <si>
    <t>DRE</t>
  </si>
  <si>
    <t>MRI vol</t>
  </si>
  <si>
    <t>MRI Pirads</t>
  </si>
  <si>
    <t>lokalizacja</t>
  </si>
  <si>
    <t>MRI EPE (naciek poza torebke)</t>
  </si>
  <si>
    <t>MRI EPE L</t>
  </si>
  <si>
    <t>MRI EPE P</t>
  </si>
  <si>
    <t>MRI SVI (pecherzyki)</t>
  </si>
  <si>
    <t>MRI SVI L</t>
  </si>
  <si>
    <t>MRI SVI P</t>
  </si>
  <si>
    <t>MRI SIZE</t>
  </si>
  <si>
    <t>Bx ISUP Grade P</t>
  </si>
  <si>
    <t>% P</t>
  </si>
  <si>
    <t>ilość + wycinków P</t>
  </si>
  <si>
    <t>Bx ISUP Grade L</t>
  </si>
  <si>
    <t>% L</t>
  </si>
  <si>
    <t>Ilość + wycinków L</t>
  </si>
  <si>
    <t>ISUP RP</t>
  </si>
  <si>
    <t>ISUP RP P</t>
  </si>
  <si>
    <t>ISUP RP L</t>
  </si>
  <si>
    <t>SM +</t>
  </si>
  <si>
    <t>N +</t>
  </si>
  <si>
    <t>EPE RP</t>
  </si>
  <si>
    <t>EPE L RP</t>
  </si>
  <si>
    <t>EPE P RP</t>
  </si>
  <si>
    <t>SVI RP</t>
  </si>
  <si>
    <t>SVI RP L</t>
  </si>
  <si>
    <t>SVI RP P</t>
  </si>
  <si>
    <t>TNM</t>
  </si>
  <si>
    <t>Kolumna2</t>
  </si>
  <si>
    <t>Kolumna3</t>
  </si>
  <si>
    <t>ID00000</t>
  </si>
  <si>
    <t>Pzpłat tylni po stronie prawej</t>
  </si>
  <si>
    <t>2na4</t>
  </si>
  <si>
    <t>1na5</t>
  </si>
  <si>
    <t>t2</t>
  </si>
  <si>
    <t>ID00008</t>
  </si>
  <si>
    <t>luty.21</t>
  </si>
  <si>
    <t>PZpI/Pzpm po stronie prawe w cz. Środkowej (3) oraz kolejna zmiana PZpI w cz. Srod (3) płat lewy</t>
  </si>
  <si>
    <t xml:space="preserve">1na5 20% fuzja 2na3 10% </t>
  </si>
  <si>
    <t>0na4, 3 na 3</t>
  </si>
  <si>
    <t>t3a</t>
  </si>
  <si>
    <t>ID00049</t>
  </si>
  <si>
    <t>marzec.21</t>
  </si>
  <si>
    <t>TZp PP przypodstawanie, oraz pirads 3 PL -TZp</t>
  </si>
  <si>
    <t>0na7</t>
  </si>
  <si>
    <t>6na7</t>
  </si>
  <si>
    <t>t2c</t>
  </si>
  <si>
    <t>ID00285</t>
  </si>
  <si>
    <t>PzPI PL</t>
  </si>
  <si>
    <t>t4</t>
  </si>
  <si>
    <t>brak his pat z operacji- odstąpiono od RP ze względu na wysokie zaawansowanie, wykonano tylko limfadentkomie</t>
  </si>
  <si>
    <t>ID00001</t>
  </si>
  <si>
    <t>PzPL/PZpm PL 5 oraz A/m Pz pI/Pzpm PL -4</t>
  </si>
  <si>
    <t>pt2c</t>
  </si>
  <si>
    <t>ID00002</t>
  </si>
  <si>
    <t xml:space="preserve">PzpI/PZpm PP 4, Pza/Pz pI/Pz pm  PL - 5, Tza PL- 5  </t>
  </si>
  <si>
    <t>ID00003</t>
  </si>
  <si>
    <t>Tza M A PL - 5, PL + PP PZ pirads 3</t>
  </si>
  <si>
    <t>ID00004</t>
  </si>
  <si>
    <t>PzPI M PL</t>
  </si>
  <si>
    <t>2na6</t>
  </si>
  <si>
    <t>3na6</t>
  </si>
  <si>
    <t>ID00005</t>
  </si>
  <si>
    <t>PZ cały płat prawy oraz częściowo lewy</t>
  </si>
  <si>
    <t>4na4</t>
  </si>
  <si>
    <t>t3b</t>
  </si>
  <si>
    <t>N1</t>
  </si>
  <si>
    <t>stan po CTX i HT podejrzenie meta</t>
  </si>
  <si>
    <t>ID00006</t>
  </si>
  <si>
    <t>paz.17</t>
  </si>
  <si>
    <t>PZ  PP - 4</t>
  </si>
  <si>
    <t>ID00007</t>
  </si>
  <si>
    <t>PZ A+M PP -5, PZ płat lewy -3</t>
  </si>
  <si>
    <t>4na5</t>
  </si>
  <si>
    <t>ID00010</t>
  </si>
  <si>
    <t xml:space="preserve">PzPI/Pzpm - PP A -4 </t>
  </si>
  <si>
    <t>ID00011</t>
  </si>
  <si>
    <t>PzA  M PL - 4, Pza/PzpI M/B PP - 4,  PzA A/M PP - 4</t>
  </si>
  <si>
    <t>ID00012</t>
  </si>
  <si>
    <t>PZpI M PP - 4</t>
  </si>
  <si>
    <t>ID00013</t>
  </si>
  <si>
    <t>Tza A -PP - 3, Tza/Tzp M - PP -4, Tza - M PL - 4</t>
  </si>
  <si>
    <t>0na5</t>
  </si>
  <si>
    <t>ID00014</t>
  </si>
  <si>
    <t>Tza PP - 5</t>
  </si>
  <si>
    <t>1na8</t>
  </si>
  <si>
    <t>ID00015</t>
  </si>
  <si>
    <t>PzpI A PL -4</t>
  </si>
  <si>
    <t>5na5</t>
  </si>
  <si>
    <t>ID00016</t>
  </si>
  <si>
    <t>PzpI M PP-4</t>
  </si>
  <si>
    <t>ID00017</t>
  </si>
  <si>
    <t>PzpI/Pzpm A PP -4</t>
  </si>
  <si>
    <t>ID00018</t>
  </si>
  <si>
    <t>Pz PP - 3</t>
  </si>
  <si>
    <t>ID00019</t>
  </si>
  <si>
    <t>mri wykonane opisu brak</t>
  </si>
  <si>
    <t>ID00020</t>
  </si>
  <si>
    <t>1na6</t>
  </si>
  <si>
    <t>ID00021</t>
  </si>
  <si>
    <t>PzPm /PZ pl PP - 5</t>
  </si>
  <si>
    <t>ID00022</t>
  </si>
  <si>
    <t>PP</t>
  </si>
  <si>
    <t>ID00023</t>
  </si>
  <si>
    <t>PL</t>
  </si>
  <si>
    <t>ID00024</t>
  </si>
  <si>
    <t>ID00025</t>
  </si>
  <si>
    <t>ID00026</t>
  </si>
  <si>
    <t>Pp+PL</t>
  </si>
  <si>
    <t>ID00027</t>
  </si>
  <si>
    <t>ID00028</t>
  </si>
  <si>
    <t>ID00029</t>
  </si>
  <si>
    <t>ID00030</t>
  </si>
  <si>
    <t>ID00031</t>
  </si>
  <si>
    <t>PP - 4 , PL - 5</t>
  </si>
  <si>
    <t>ID00032</t>
  </si>
  <si>
    <t>ID00033</t>
  </si>
  <si>
    <t>PP+PL</t>
  </si>
  <si>
    <t>ID00034</t>
  </si>
  <si>
    <t>PP + troche PL</t>
  </si>
  <si>
    <t>ID00036</t>
  </si>
  <si>
    <t>ID00037</t>
  </si>
  <si>
    <t>ID00038</t>
  </si>
  <si>
    <t>t2a</t>
  </si>
  <si>
    <t>ID00039</t>
  </si>
  <si>
    <t>ID00040</t>
  </si>
  <si>
    <t>ID00041</t>
  </si>
  <si>
    <t>ID00042</t>
  </si>
  <si>
    <t>ID00043</t>
  </si>
  <si>
    <t>ID00044</t>
  </si>
  <si>
    <t>ID00045</t>
  </si>
  <si>
    <t>ID00046</t>
  </si>
  <si>
    <t>6na6</t>
  </si>
  <si>
    <t>ID00047</t>
  </si>
  <si>
    <t>ID00048</t>
  </si>
  <si>
    <t>ID00050</t>
  </si>
  <si>
    <t>7na7</t>
  </si>
  <si>
    <t>ID00051</t>
  </si>
  <si>
    <t>ID00052</t>
  </si>
  <si>
    <t>ID00053</t>
  </si>
  <si>
    <t>ID00054</t>
  </si>
  <si>
    <t>ID00055</t>
  </si>
  <si>
    <t>ID00056</t>
  </si>
  <si>
    <t>ID00057</t>
  </si>
  <si>
    <t>??????????</t>
  </si>
  <si>
    <t>ID00058</t>
  </si>
  <si>
    <t>ID00059</t>
  </si>
  <si>
    <t>ID00060</t>
  </si>
  <si>
    <t>ID00061</t>
  </si>
  <si>
    <t>ID00062</t>
  </si>
  <si>
    <t>ID00063</t>
  </si>
  <si>
    <t>ID00064</t>
  </si>
  <si>
    <t>ID00065</t>
  </si>
  <si>
    <t>ID00066</t>
  </si>
  <si>
    <t>ID00067</t>
  </si>
  <si>
    <t>ID00068</t>
  </si>
  <si>
    <t>ID00069</t>
  </si>
  <si>
    <t>ID00070</t>
  </si>
  <si>
    <t>ID00071</t>
  </si>
  <si>
    <t>ID00072</t>
  </si>
  <si>
    <t>ID00073</t>
  </si>
  <si>
    <t>ID00074</t>
  </si>
  <si>
    <t>ID00075</t>
  </si>
  <si>
    <t>ID00076</t>
  </si>
  <si>
    <t>ID00077</t>
  </si>
  <si>
    <t>ID00078</t>
  </si>
  <si>
    <t>ID00079</t>
  </si>
  <si>
    <t>ID00080</t>
  </si>
  <si>
    <t>ID00081</t>
  </si>
  <si>
    <t>ID00082</t>
  </si>
  <si>
    <t>ID00083</t>
  </si>
  <si>
    <t>ID00084</t>
  </si>
  <si>
    <t>ID00239</t>
  </si>
  <si>
    <t>ID00086</t>
  </si>
  <si>
    <t>ID00087</t>
  </si>
  <si>
    <t>t2b</t>
  </si>
  <si>
    <t>ID00088</t>
  </si>
  <si>
    <t>ID00089</t>
  </si>
  <si>
    <t>ID00090</t>
  </si>
  <si>
    <t>ID00091</t>
  </si>
  <si>
    <t>ID00092</t>
  </si>
  <si>
    <t>ID00093</t>
  </si>
  <si>
    <t>ID00094</t>
  </si>
  <si>
    <t>ID00095</t>
  </si>
  <si>
    <t>ID00096</t>
  </si>
  <si>
    <t>ID00097</t>
  </si>
  <si>
    <t>ID00098</t>
  </si>
  <si>
    <t>ID00099</t>
  </si>
  <si>
    <t>ID00100</t>
  </si>
  <si>
    <t>ID00101</t>
  </si>
  <si>
    <t>ID00102</t>
  </si>
  <si>
    <t>ID00103</t>
  </si>
  <si>
    <t>ID00104</t>
  </si>
  <si>
    <t>ID00105</t>
  </si>
  <si>
    <t>ID00106</t>
  </si>
  <si>
    <t>ID00107</t>
  </si>
  <si>
    <t>ID00108</t>
  </si>
  <si>
    <t>ID00109</t>
  </si>
  <si>
    <t>ID00110</t>
  </si>
  <si>
    <t>ID00111</t>
  </si>
  <si>
    <t>ID00112</t>
  </si>
  <si>
    <t>ID00113</t>
  </si>
  <si>
    <t>ID00114</t>
  </si>
  <si>
    <t>ID00115</t>
  </si>
  <si>
    <t>ID00116</t>
  </si>
  <si>
    <t>ID00117</t>
  </si>
  <si>
    <t>ID00118</t>
  </si>
  <si>
    <t>ID00119</t>
  </si>
  <si>
    <t>ID00120</t>
  </si>
  <si>
    <t>ID00121</t>
  </si>
  <si>
    <t>ID00122</t>
  </si>
  <si>
    <t>ID00123</t>
  </si>
  <si>
    <t>ID00124</t>
  </si>
  <si>
    <t>ID00125</t>
  </si>
  <si>
    <t>ID00126</t>
  </si>
  <si>
    <t>ID00127</t>
  </si>
  <si>
    <t>ID00128</t>
  </si>
  <si>
    <t>ID00129</t>
  </si>
  <si>
    <t>ID00130</t>
  </si>
  <si>
    <t>ID00131</t>
  </si>
  <si>
    <t>ID00132</t>
  </si>
  <si>
    <t>ID00133</t>
  </si>
  <si>
    <t>ID00134</t>
  </si>
  <si>
    <t>ID00135</t>
  </si>
  <si>
    <t>ID00136</t>
  </si>
  <si>
    <t>ID00137</t>
  </si>
  <si>
    <t>ID00138</t>
  </si>
  <si>
    <t>ID00139</t>
  </si>
  <si>
    <t>ID00141</t>
  </si>
  <si>
    <t>ID00142</t>
  </si>
  <si>
    <t>ID00143</t>
  </si>
  <si>
    <t>ID00144</t>
  </si>
  <si>
    <t>ID00145</t>
  </si>
  <si>
    <t>ID00146</t>
  </si>
  <si>
    <t>ID00147</t>
  </si>
  <si>
    <t>ID00148</t>
  </si>
  <si>
    <t>ID00149</t>
  </si>
  <si>
    <t>ID00150</t>
  </si>
  <si>
    <t>ID00151</t>
  </si>
  <si>
    <t>ID00152</t>
  </si>
  <si>
    <t>ID00153</t>
  </si>
  <si>
    <t>ID00154</t>
  </si>
  <si>
    <t>ID00155</t>
  </si>
  <si>
    <t>ID00156</t>
  </si>
  <si>
    <t>ID00157</t>
  </si>
  <si>
    <t>ID00158</t>
  </si>
  <si>
    <t>ID00159</t>
  </si>
  <si>
    <t>ID00160</t>
  </si>
  <si>
    <t>`</t>
  </si>
  <si>
    <t>ID00161</t>
  </si>
  <si>
    <t>ID00162</t>
  </si>
  <si>
    <t>ID00163</t>
  </si>
  <si>
    <t>ID00164</t>
  </si>
  <si>
    <t>ID00165</t>
  </si>
  <si>
    <t>ID00166</t>
  </si>
  <si>
    <t>ID00167</t>
  </si>
  <si>
    <t>ID00168</t>
  </si>
  <si>
    <t>ID00169</t>
  </si>
  <si>
    <t>ID00170</t>
  </si>
  <si>
    <t>ID00171</t>
  </si>
  <si>
    <t>ID00172</t>
  </si>
  <si>
    <t>ID00174</t>
  </si>
  <si>
    <t>ID00175</t>
  </si>
  <si>
    <t>ID00176</t>
  </si>
  <si>
    <t>ID00177</t>
  </si>
  <si>
    <t>ID00178</t>
  </si>
  <si>
    <t>ID00179</t>
  </si>
  <si>
    <t>ID00180</t>
  </si>
  <si>
    <t>ID00181</t>
  </si>
  <si>
    <t>ID00182</t>
  </si>
  <si>
    <t>ID00183</t>
  </si>
  <si>
    <t>ID00184</t>
  </si>
  <si>
    <t>ID00185</t>
  </si>
  <si>
    <t>ID00186</t>
  </si>
  <si>
    <t>ID00187</t>
  </si>
  <si>
    <t>ID00188</t>
  </si>
  <si>
    <t>ID00189</t>
  </si>
  <si>
    <t>ID00190</t>
  </si>
  <si>
    <t>ID00191</t>
  </si>
  <si>
    <t>ID00192</t>
  </si>
  <si>
    <t>ID00193</t>
  </si>
  <si>
    <t>ID00194</t>
  </si>
  <si>
    <t>ID00195</t>
  </si>
  <si>
    <t>ID00196</t>
  </si>
  <si>
    <t>ID00197</t>
  </si>
  <si>
    <t>ID00198</t>
  </si>
  <si>
    <t>ID00199</t>
  </si>
  <si>
    <t>ID00200</t>
  </si>
  <si>
    <t>ID00201</t>
  </si>
  <si>
    <t>ID00202</t>
  </si>
  <si>
    <t>ID00203</t>
  </si>
  <si>
    <t>ID00204</t>
  </si>
  <si>
    <t>ID00205</t>
  </si>
  <si>
    <t>ID00206</t>
  </si>
  <si>
    <t>ID00207</t>
  </si>
  <si>
    <t>ID00208</t>
  </si>
  <si>
    <t>ID00209</t>
  </si>
  <si>
    <t>ID00210</t>
  </si>
  <si>
    <t>ID00211</t>
  </si>
  <si>
    <t>ID00212</t>
  </si>
  <si>
    <t>ID00213</t>
  </si>
  <si>
    <t>ID00214</t>
  </si>
  <si>
    <t>ID00215</t>
  </si>
  <si>
    <t>ID00216</t>
  </si>
  <si>
    <t>ID00217</t>
  </si>
  <si>
    <t>ID00218</t>
  </si>
  <si>
    <t>ID00219</t>
  </si>
  <si>
    <t>ID00220</t>
  </si>
  <si>
    <t>ID00221</t>
  </si>
  <si>
    <t>ID00222</t>
  </si>
  <si>
    <t>ID00223</t>
  </si>
  <si>
    <t>ID00225</t>
  </si>
  <si>
    <t>ID00224</t>
  </si>
  <si>
    <t>ID00226</t>
  </si>
  <si>
    <t>ID00227</t>
  </si>
  <si>
    <t>ID00228</t>
  </si>
  <si>
    <t>ID00229</t>
  </si>
  <si>
    <t>ID00230</t>
  </si>
  <si>
    <t>ID00231</t>
  </si>
  <si>
    <t>ID00232</t>
  </si>
  <si>
    <t>ID00233</t>
  </si>
  <si>
    <t>ID00234</t>
  </si>
  <si>
    <t>ID00235</t>
  </si>
  <si>
    <t>ID00236</t>
  </si>
  <si>
    <t>ID00237</t>
  </si>
  <si>
    <t>ID00238</t>
  </si>
  <si>
    <t>ID00240</t>
  </si>
  <si>
    <t>ID00241</t>
  </si>
  <si>
    <t>ID00242</t>
  </si>
  <si>
    <t>ID00243</t>
  </si>
  <si>
    <t>ID00244</t>
  </si>
  <si>
    <t>ID00245</t>
  </si>
  <si>
    <t>ID00246</t>
  </si>
  <si>
    <t>ID00247</t>
  </si>
  <si>
    <t>ID00248</t>
  </si>
  <si>
    <t>ID00249</t>
  </si>
  <si>
    <t>ID00250</t>
  </si>
  <si>
    <t>ID00251</t>
  </si>
  <si>
    <t>ID00252</t>
  </si>
  <si>
    <t>ID00253</t>
  </si>
  <si>
    <t>ID00254</t>
  </si>
  <si>
    <t>ID00255</t>
  </si>
  <si>
    <t>ID00256</t>
  </si>
  <si>
    <t>ID00257</t>
  </si>
  <si>
    <t>ID00258</t>
  </si>
  <si>
    <t>ID00259</t>
  </si>
  <si>
    <t>ID00260</t>
  </si>
  <si>
    <t>ID00261</t>
  </si>
  <si>
    <t>ID00264</t>
  </si>
  <si>
    <t>ID00265</t>
  </si>
  <si>
    <t>ID00266</t>
  </si>
  <si>
    <t>ID00267</t>
  </si>
  <si>
    <t>ID00268</t>
  </si>
  <si>
    <t>ID00269</t>
  </si>
  <si>
    <t>ID00270</t>
  </si>
  <si>
    <t>ID00271</t>
  </si>
  <si>
    <t>ID00272</t>
  </si>
  <si>
    <t>ID00273</t>
  </si>
  <si>
    <t>ID00274</t>
  </si>
  <si>
    <t>ID00275</t>
  </si>
  <si>
    <t>ID00276</t>
  </si>
  <si>
    <t>ID00278</t>
  </si>
  <si>
    <t>ID00279</t>
  </si>
  <si>
    <t>ID00277</t>
  </si>
  <si>
    <t>ID00281</t>
  </si>
  <si>
    <t>ID00282</t>
  </si>
  <si>
    <t>ID00283</t>
  </si>
  <si>
    <t>ID00284</t>
  </si>
  <si>
    <t>?</t>
  </si>
  <si>
    <t>ID00286</t>
  </si>
  <si>
    <t>ID00287</t>
  </si>
  <si>
    <t>ID00288</t>
  </si>
  <si>
    <t>ID00289</t>
  </si>
  <si>
    <t>ID00290</t>
  </si>
  <si>
    <t>ID00291</t>
  </si>
  <si>
    <t>ID00292</t>
  </si>
  <si>
    <t>ID00293</t>
  </si>
  <si>
    <t>ID00294</t>
  </si>
  <si>
    <t>ID00295</t>
  </si>
  <si>
    <t>ID00296</t>
  </si>
  <si>
    <t>ID00297</t>
  </si>
  <si>
    <t>ID00298</t>
  </si>
  <si>
    <t>ID00299</t>
  </si>
  <si>
    <t>ID00300</t>
  </si>
  <si>
    <t>ID00301</t>
  </si>
  <si>
    <t>ID00302</t>
  </si>
  <si>
    <t>ID00303</t>
  </si>
  <si>
    <t>ID00304</t>
  </si>
  <si>
    <t>ID00305</t>
  </si>
  <si>
    <t>ID00306</t>
  </si>
  <si>
    <t>ID00308</t>
  </si>
  <si>
    <t>ID00309</t>
  </si>
  <si>
    <t>ID00310</t>
  </si>
  <si>
    <t>ID00311</t>
  </si>
  <si>
    <t>ID00312</t>
  </si>
  <si>
    <t>ID00313</t>
  </si>
  <si>
    <t>ID00314</t>
  </si>
  <si>
    <t>ID00315</t>
  </si>
  <si>
    <t>ID00316</t>
  </si>
  <si>
    <t>ID00317</t>
  </si>
  <si>
    <t>ID00318</t>
  </si>
  <si>
    <t>ID00319</t>
  </si>
  <si>
    <t>ID00320</t>
  </si>
  <si>
    <t>ID00321</t>
  </si>
  <si>
    <t>ID00322</t>
  </si>
  <si>
    <t>ID00323</t>
  </si>
  <si>
    <t>ID00324</t>
  </si>
  <si>
    <t>ID00325</t>
  </si>
  <si>
    <t>ID00326</t>
  </si>
  <si>
    <t>ID00327</t>
  </si>
  <si>
    <t>ID00328</t>
  </si>
  <si>
    <t>ID00329</t>
  </si>
  <si>
    <t>ID00330</t>
  </si>
  <si>
    <t>ID00331</t>
  </si>
  <si>
    <t>ID00332</t>
  </si>
  <si>
    <t>ID00333</t>
  </si>
  <si>
    <t>ID00334</t>
  </si>
  <si>
    <t>ID00335</t>
  </si>
  <si>
    <t>ID00336</t>
  </si>
  <si>
    <t>ID00337</t>
  </si>
  <si>
    <t>ID00338</t>
  </si>
  <si>
    <t>ID00339</t>
  </si>
  <si>
    <t>ID00340</t>
  </si>
  <si>
    <t>ID00341</t>
  </si>
  <si>
    <t>ID00342</t>
  </si>
  <si>
    <t>ID00343</t>
  </si>
  <si>
    <t>ID00344</t>
  </si>
  <si>
    <t>ID00345</t>
  </si>
  <si>
    <t>ID00346</t>
  </si>
  <si>
    <t>ID00347</t>
  </si>
  <si>
    <t>ID00348</t>
  </si>
  <si>
    <t>ID00349</t>
  </si>
  <si>
    <t>ID00350</t>
  </si>
  <si>
    <t>ID00351</t>
  </si>
  <si>
    <t>ID00352</t>
  </si>
  <si>
    <t>ID00353</t>
  </si>
  <si>
    <t>ID00354</t>
  </si>
  <si>
    <t>ID00355</t>
  </si>
  <si>
    <t>ID00356</t>
  </si>
  <si>
    <t>ID00357</t>
  </si>
  <si>
    <t>ID00358</t>
  </si>
  <si>
    <t>ID00359</t>
  </si>
  <si>
    <t>ID00360</t>
  </si>
  <si>
    <t>ID00361</t>
  </si>
  <si>
    <t>ID00362</t>
  </si>
  <si>
    <t>ID00363</t>
  </si>
  <si>
    <t>ID00364</t>
  </si>
  <si>
    <t>ID00365</t>
  </si>
  <si>
    <t>ID00366</t>
  </si>
  <si>
    <t>ID00367</t>
  </si>
  <si>
    <t>ID00368</t>
  </si>
  <si>
    <t>ID00369</t>
  </si>
  <si>
    <t>ID00370</t>
  </si>
  <si>
    <t>ID00371</t>
  </si>
  <si>
    <t>ID00372</t>
  </si>
  <si>
    <t>ID00373</t>
  </si>
  <si>
    <t>ID00374</t>
  </si>
  <si>
    <t>ID00375</t>
  </si>
  <si>
    <t>ID00376</t>
  </si>
  <si>
    <t>ID00377</t>
  </si>
  <si>
    <t>ID00378</t>
  </si>
  <si>
    <t>ID00379</t>
  </si>
  <si>
    <t>ID00381</t>
  </si>
  <si>
    <t>ID00382</t>
  </si>
  <si>
    <t>ID00383</t>
  </si>
  <si>
    <t>ID00384</t>
  </si>
  <si>
    <t>ID00385</t>
  </si>
  <si>
    <t>ID00386</t>
  </si>
  <si>
    <t>ID00387</t>
  </si>
  <si>
    <t>ID00388</t>
  </si>
  <si>
    <t>ID00390</t>
  </si>
  <si>
    <t>ID00391</t>
  </si>
  <si>
    <t>ID00392</t>
  </si>
  <si>
    <t>ID00393</t>
  </si>
  <si>
    <t>ID00394</t>
  </si>
  <si>
    <t>ID00395</t>
  </si>
  <si>
    <t>ID00396</t>
  </si>
  <si>
    <t>ID00397</t>
  </si>
  <si>
    <t>ID00398</t>
  </si>
  <si>
    <t>ID00399</t>
  </si>
  <si>
    <t>ID00400</t>
  </si>
  <si>
    <t>ID00402</t>
  </si>
  <si>
    <t>ID00403</t>
  </si>
  <si>
    <t>ID00405</t>
  </si>
  <si>
    <t>ID00406</t>
  </si>
  <si>
    <t>ID00407</t>
  </si>
  <si>
    <t>ID00408</t>
  </si>
  <si>
    <t>ID00409</t>
  </si>
  <si>
    <t>ID00410</t>
  </si>
  <si>
    <t>ID00411</t>
  </si>
  <si>
    <t>ID00413</t>
  </si>
  <si>
    <t>ID00414</t>
  </si>
  <si>
    <t>ID00412</t>
  </si>
  <si>
    <t>ID00404</t>
  </si>
  <si>
    <t>ID00401</t>
  </si>
  <si>
    <t>ID00389</t>
  </si>
  <si>
    <t>ID00380</t>
  </si>
  <si>
    <t>ID00307</t>
  </si>
  <si>
    <t>ID00280</t>
  </si>
  <si>
    <t>ID00262</t>
  </si>
  <si>
    <t>ID00263</t>
  </si>
  <si>
    <t>ID00173</t>
  </si>
  <si>
    <t>ID00035</t>
  </si>
  <si>
    <t>ID00009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</si>
</sst>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2" fillId="4" borderId="1" xfId="0" applyFont="1" applyFill="1" applyBorder="1"/>
    <xf numFmtId="2" fontId="2" fillId="4" borderId="1" xfId="0" applyNumberFormat="1" applyFont="1" applyFill="1" applyBorder="1"/>
    <xf numFmtId="0" fontId="2" fillId="5" borderId="1" xfId="0" applyFont="1" applyFill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2" xfId="0" applyFont="1" applyFill="1" applyBorder="1"/>
    <xf numFmtId="0" fontId="0" fillId="7" borderId="3" xfId="0" applyFill="1" applyBorder="1"/>
    <xf numFmtId="0" fontId="0" fillId="7" borderId="3" xfId="0" applyFill="1" applyBorder="1" applyAlignment="1">
      <alignment horizontal="right"/>
    </xf>
    <xf numFmtId="2" fontId="0" fillId="7" borderId="3" xfId="0" applyNumberFormat="1" applyFill="1" applyBorder="1"/>
    <xf numFmtId="1" fontId="0" fillId="7" borderId="3" xfId="0" applyNumberFormat="1" applyFill="1" applyBorder="1"/>
    <xf numFmtId="0" fontId="0" fillId="7" borderId="4" xfId="0" applyFill="1" applyBorder="1"/>
    <xf numFmtId="0" fontId="0" fillId="8" borderId="3" xfId="0" applyFill="1" applyBorder="1"/>
    <xf numFmtId="0" fontId="0" fillId="8" borderId="3" xfId="0" applyFill="1" applyBorder="1" applyAlignment="1">
      <alignment horizontal="right"/>
    </xf>
    <xf numFmtId="2" fontId="0" fillId="8" borderId="3" xfId="0" applyNumberFormat="1" applyFill="1" applyBorder="1"/>
    <xf numFmtId="1" fontId="0" fillId="8" borderId="3" xfId="0" applyNumberFormat="1" applyFill="1" applyBorder="1"/>
    <xf numFmtId="0" fontId="0" fillId="8" borderId="4" xfId="0" applyFill="1" applyBorder="1"/>
    <xf numFmtId="16" fontId="0" fillId="7" borderId="3" xfId="0" applyNumberFormat="1" applyFill="1" applyBorder="1"/>
    <xf numFmtId="17" fontId="0" fillId="8" borderId="3" xfId="0" applyNumberFormat="1" applyFill="1" applyBorder="1" applyAlignment="1">
      <alignment horizontal="right"/>
    </xf>
    <xf numFmtId="0" fontId="0" fillId="6" borderId="3" xfId="0" applyFill="1" applyBorder="1"/>
    <xf numFmtId="17" fontId="0" fillId="7" borderId="3" xfId="0" applyNumberFormat="1" applyFill="1" applyBorder="1" applyAlignment="1">
      <alignment horizontal="right"/>
    </xf>
    <xf numFmtId="16" fontId="0" fillId="8" borderId="3" xfId="0" applyNumberFormat="1" applyFill="1" applyBorder="1"/>
    <xf numFmtId="17" fontId="0" fillId="7" borderId="3" xfId="0" applyNumberFormat="1" applyFill="1" applyBorder="1"/>
    <xf numFmtId="17" fontId="0" fillId="8" borderId="3" xfId="0" applyNumberFormat="1" applyFill="1" applyBorder="1"/>
    <xf numFmtId="9" fontId="0" fillId="7" borderId="3" xfId="0" applyNumberFormat="1" applyFill="1" applyBorder="1"/>
    <xf numFmtId="1" fontId="0" fillId="6" borderId="3" xfId="0" applyNumberFormat="1" applyFill="1" applyBorder="1"/>
    <xf numFmtId="0" fontId="0" fillId="9" borderId="3" xfId="0" applyFill="1" applyBorder="1"/>
    <xf numFmtId="0" fontId="0" fillId="10" borderId="5" xfId="0" applyFill="1" applyBorder="1"/>
    <xf numFmtId="0" fontId="0" fillId="9" borderId="5" xfId="0" applyFill="1" applyBorder="1"/>
    <xf numFmtId="0" fontId="0" fillId="7" borderId="3" xfId="0" applyFill="1" applyBorder="1" applyAlignment="1">
      <alignment vertical="center" wrapText="1"/>
    </xf>
    <xf numFmtId="0" fontId="0" fillId="9" borderId="6" xfId="0" applyFill="1" applyBorder="1"/>
    <xf numFmtId="0" fontId="0" fillId="8" borderId="6" xfId="0" applyFill="1" applyBorder="1"/>
    <xf numFmtId="17" fontId="0" fillId="8" borderId="6" xfId="0" applyNumberFormat="1" applyFill="1" applyBorder="1"/>
    <xf numFmtId="2" fontId="0" fillId="8" borderId="6" xfId="0" applyNumberFormat="1" applyFill="1" applyBorder="1"/>
    <xf numFmtId="1" fontId="0" fillId="8" borderId="6" xfId="0" applyNumberFormat="1" applyFill="1" applyBorder="1"/>
    <xf numFmtId="0" fontId="0" fillId="8" borderId="7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n\Desktop\DOKTORAT\baza%20mri-2%20(1).xlsx" TargetMode="External"/><Relationship Id="rId1" Type="http://schemas.openxmlformats.org/officeDocument/2006/relationships/externalLinkPath" Target="/Users/jan/Desktop/DOKTORAT/baza%20mri-2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SS282"/>
      <sheetName val="Sheet1"/>
      <sheetName val="Arkusz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17"/>
  <sheetViews>
    <sheetView tabSelected="1" topLeftCell="A390" workbookViewId="0">
      <selection activeCell="C10" sqref="C10"/>
    </sheetView>
  </sheetViews>
  <sheetFormatPr defaultRowHeight="15" x14ac:dyDescent="0.25"/>
  <sheetData>
    <row r="1" spans="1:37" ht="15.75" thickBot="1" x14ac:dyDescent="0.3">
      <c r="A1" s="1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9" t="s">
        <v>19</v>
      </c>
      <c r="U1" s="8" t="s">
        <v>20</v>
      </c>
      <c r="V1" s="9" t="s">
        <v>21</v>
      </c>
      <c r="W1" s="9" t="s">
        <v>22</v>
      </c>
      <c r="X1" s="10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11" t="s">
        <v>36</v>
      </c>
    </row>
    <row r="2" spans="1:37" ht="15.75" thickTop="1" x14ac:dyDescent="0.25">
      <c r="A2" s="12" t="s">
        <v>37</v>
      </c>
      <c r="B2" s="12">
        <v>63</v>
      </c>
      <c r="C2" s="12">
        <v>5.1100000000000003</v>
      </c>
      <c r="D2" s="13"/>
      <c r="E2" s="14">
        <f>[1]!Tabela1[[#This Row],[PSA]]/[1]!Tabela1[[#This Row],[MRI vol]]</f>
        <v>0.14600000000000002</v>
      </c>
      <c r="F2" s="12"/>
      <c r="G2" s="12"/>
      <c r="H2" s="12">
        <v>35</v>
      </c>
      <c r="I2" s="12">
        <v>4</v>
      </c>
      <c r="J2" s="12" t="s">
        <v>38</v>
      </c>
      <c r="K2" s="15">
        <v>1</v>
      </c>
      <c r="L2" s="15">
        <v>0</v>
      </c>
      <c r="M2" s="15">
        <v>1</v>
      </c>
      <c r="N2" s="15">
        <v>0</v>
      </c>
      <c r="O2" s="15">
        <v>0</v>
      </c>
      <c r="P2" s="15">
        <v>0</v>
      </c>
      <c r="Q2" s="15">
        <v>10</v>
      </c>
      <c r="R2" s="15">
        <v>1</v>
      </c>
      <c r="S2" s="12">
        <v>40</v>
      </c>
      <c r="T2" s="12" t="s">
        <v>39</v>
      </c>
      <c r="U2" s="15">
        <v>1</v>
      </c>
      <c r="V2" s="12">
        <v>20</v>
      </c>
      <c r="W2" s="12" t="s">
        <v>40</v>
      </c>
      <c r="X2" s="12">
        <v>1</v>
      </c>
      <c r="Y2" s="12">
        <v>1</v>
      </c>
      <c r="Z2" s="12">
        <v>1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 t="s">
        <v>41</v>
      </c>
      <c r="AJ2" s="12"/>
      <c r="AK2" s="16"/>
    </row>
    <row r="3" spans="1:37" x14ac:dyDescent="0.25">
      <c r="A3" s="17" t="s">
        <v>42</v>
      </c>
      <c r="B3" s="17">
        <v>64</v>
      </c>
      <c r="C3" s="17">
        <v>5.39</v>
      </c>
      <c r="D3" s="18" t="s">
        <v>43</v>
      </c>
      <c r="E3" s="19">
        <f>[1]!Tabela1[[#This Row],[PSA]]/[1]!Tabela1[[#This Row],[MRI vol]]</f>
        <v>0.17966666666666667</v>
      </c>
      <c r="F3" s="17"/>
      <c r="G3" s="17"/>
      <c r="H3" s="17">
        <v>30</v>
      </c>
      <c r="I3" s="17">
        <v>3</v>
      </c>
      <c r="J3" s="17" t="s">
        <v>44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10</v>
      </c>
      <c r="R3" s="20">
        <v>1</v>
      </c>
      <c r="S3" s="20">
        <v>20</v>
      </c>
      <c r="T3" s="17" t="s">
        <v>45</v>
      </c>
      <c r="U3" s="20">
        <v>3</v>
      </c>
      <c r="V3" s="20">
        <v>80</v>
      </c>
      <c r="W3" s="17" t="s">
        <v>46</v>
      </c>
      <c r="X3" s="20">
        <v>3</v>
      </c>
      <c r="Y3" s="20">
        <v>3</v>
      </c>
      <c r="Z3" s="20">
        <v>3</v>
      </c>
      <c r="AA3" s="20">
        <v>0</v>
      </c>
      <c r="AB3" s="20">
        <v>0</v>
      </c>
      <c r="AC3" s="20">
        <v>1</v>
      </c>
      <c r="AD3" s="20">
        <v>1</v>
      </c>
      <c r="AE3" s="20">
        <v>0</v>
      </c>
      <c r="AF3" s="20">
        <v>0</v>
      </c>
      <c r="AG3" s="20">
        <v>0</v>
      </c>
      <c r="AH3" s="20">
        <v>0</v>
      </c>
      <c r="AI3" s="17" t="s">
        <v>47</v>
      </c>
      <c r="AJ3" s="17"/>
      <c r="AK3" s="21"/>
    </row>
    <row r="4" spans="1:37" x14ac:dyDescent="0.25">
      <c r="A4" s="12" t="s">
        <v>48</v>
      </c>
      <c r="B4" s="12">
        <v>64</v>
      </c>
      <c r="C4" s="12">
        <v>8.3000000000000007</v>
      </c>
      <c r="D4" s="13" t="s">
        <v>49</v>
      </c>
      <c r="E4" s="14">
        <f>[1]!Tabela1[[#This Row],[PSA]]/[1]!Tabela1[[#This Row],[MRI vol]]</f>
        <v>0.20750000000000002</v>
      </c>
      <c r="F4" s="12"/>
      <c r="G4" s="12"/>
      <c r="H4" s="12">
        <v>40</v>
      </c>
      <c r="I4" s="12">
        <v>4</v>
      </c>
      <c r="J4" s="12" t="s">
        <v>50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12</v>
      </c>
      <c r="R4" s="15">
        <v>0</v>
      </c>
      <c r="S4" s="12">
        <v>0</v>
      </c>
      <c r="T4" s="12" t="s">
        <v>51</v>
      </c>
      <c r="U4" s="15">
        <v>1</v>
      </c>
      <c r="V4" s="12">
        <v>45</v>
      </c>
      <c r="W4" s="22" t="s">
        <v>52</v>
      </c>
      <c r="X4" s="12">
        <v>2</v>
      </c>
      <c r="Y4" s="12">
        <v>2</v>
      </c>
      <c r="Z4" s="12">
        <v>2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 t="s">
        <v>53</v>
      </c>
      <c r="AJ4" s="12"/>
      <c r="AK4" s="16"/>
    </row>
    <row r="5" spans="1:37" x14ac:dyDescent="0.25">
      <c r="A5" s="17" t="s">
        <v>54</v>
      </c>
      <c r="B5" s="17">
        <v>64</v>
      </c>
      <c r="C5" s="17">
        <v>17.100000000000001</v>
      </c>
      <c r="D5" s="23">
        <v>43101</v>
      </c>
      <c r="E5" s="19">
        <f>[1]!Tabela1[[#This Row],[PSA]]/[1]!Tabela1[[#This Row],[MRI vol]]</f>
        <v>0.28983050847457631</v>
      </c>
      <c r="F5" s="17"/>
      <c r="G5" s="17"/>
      <c r="H5" s="17">
        <v>59</v>
      </c>
      <c r="I5" s="17">
        <v>5</v>
      </c>
      <c r="J5" s="17" t="s">
        <v>55</v>
      </c>
      <c r="K5" s="20">
        <v>1</v>
      </c>
      <c r="L5" s="20">
        <v>1</v>
      </c>
      <c r="M5" s="20">
        <v>1</v>
      </c>
      <c r="N5" s="20">
        <v>1</v>
      </c>
      <c r="O5" s="20">
        <v>1</v>
      </c>
      <c r="P5" s="20">
        <v>1</v>
      </c>
      <c r="Q5" s="20">
        <v>31</v>
      </c>
      <c r="R5" s="20">
        <v>4</v>
      </c>
      <c r="S5" s="17">
        <v>80</v>
      </c>
      <c r="T5" s="17"/>
      <c r="U5" s="17">
        <v>3</v>
      </c>
      <c r="V5" s="17">
        <v>75</v>
      </c>
      <c r="W5" s="17"/>
      <c r="X5" s="24"/>
      <c r="Y5" s="24"/>
      <c r="Z5" s="24"/>
      <c r="AA5" s="24"/>
      <c r="AB5" s="17">
        <v>1</v>
      </c>
      <c r="AC5" s="24"/>
      <c r="AD5" s="24"/>
      <c r="AE5" s="24"/>
      <c r="AF5" s="24"/>
      <c r="AG5" s="24"/>
      <c r="AH5" s="24"/>
      <c r="AI5" s="24" t="s">
        <v>56</v>
      </c>
      <c r="AJ5" s="17" t="s">
        <v>57</v>
      </c>
      <c r="AK5" s="21"/>
    </row>
    <row r="6" spans="1:37" x14ac:dyDescent="0.25">
      <c r="A6" s="12" t="s">
        <v>58</v>
      </c>
      <c r="B6" s="12">
        <v>56</v>
      </c>
      <c r="C6" s="24">
        <v>6.8</v>
      </c>
      <c r="D6" s="25">
        <v>42644</v>
      </c>
      <c r="E6" s="14">
        <f>[1]!Tabela1[[#This Row],[PSA]]/[1]!Tabela1[[#This Row],[MRI vol]]</f>
        <v>0.19999999999999998</v>
      </c>
      <c r="F6" s="12"/>
      <c r="G6" s="12"/>
      <c r="H6" s="12">
        <v>34</v>
      </c>
      <c r="I6" s="12">
        <v>5</v>
      </c>
      <c r="J6" s="12" t="s">
        <v>59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17</v>
      </c>
      <c r="R6" s="15">
        <v>2</v>
      </c>
      <c r="S6" s="12">
        <v>100</v>
      </c>
      <c r="T6" s="12"/>
      <c r="U6" s="12">
        <v>0</v>
      </c>
      <c r="V6" s="12">
        <v>0</v>
      </c>
      <c r="W6" s="12"/>
      <c r="X6" s="12">
        <v>3</v>
      </c>
      <c r="Y6" s="12">
        <v>3</v>
      </c>
      <c r="Z6" s="12">
        <v>3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 t="s">
        <v>60</v>
      </c>
      <c r="AJ6" s="12"/>
      <c r="AK6" s="16"/>
    </row>
    <row r="7" spans="1:37" x14ac:dyDescent="0.25">
      <c r="A7" s="17" t="s">
        <v>61</v>
      </c>
      <c r="B7" s="17">
        <v>59</v>
      </c>
      <c r="C7" s="24">
        <v>40</v>
      </c>
      <c r="D7" s="23">
        <v>42644</v>
      </c>
      <c r="E7" s="19">
        <f>[1]!Tabela1[[#This Row],[PSA]]/[1]!Tabela1[[#This Row],[MRI vol]]</f>
        <v>2.2222222222222223</v>
      </c>
      <c r="F7" s="17"/>
      <c r="G7" s="17"/>
      <c r="H7" s="17">
        <v>18</v>
      </c>
      <c r="I7" s="17">
        <v>5</v>
      </c>
      <c r="J7" s="17" t="s">
        <v>62</v>
      </c>
      <c r="K7" s="20">
        <v>1</v>
      </c>
      <c r="L7" s="20">
        <v>1</v>
      </c>
      <c r="M7" s="20">
        <v>0</v>
      </c>
      <c r="N7" s="20">
        <v>1</v>
      </c>
      <c r="O7" s="20">
        <v>1</v>
      </c>
      <c r="P7" s="20">
        <v>0</v>
      </c>
      <c r="Q7" s="20">
        <v>18</v>
      </c>
      <c r="R7" s="20">
        <v>1</v>
      </c>
      <c r="S7" s="17">
        <v>60</v>
      </c>
      <c r="T7" s="17"/>
      <c r="U7" s="17">
        <v>2</v>
      </c>
      <c r="V7" s="17">
        <v>60</v>
      </c>
      <c r="W7" s="17"/>
      <c r="X7" s="17">
        <v>5</v>
      </c>
      <c r="Y7" s="17">
        <v>4</v>
      </c>
      <c r="Z7" s="17">
        <v>5</v>
      </c>
      <c r="AA7" s="17">
        <v>0</v>
      </c>
      <c r="AB7" s="17">
        <v>0</v>
      </c>
      <c r="AC7" s="17">
        <v>1</v>
      </c>
      <c r="AD7" s="17">
        <v>1</v>
      </c>
      <c r="AE7" s="17">
        <v>0</v>
      </c>
      <c r="AF7" s="17">
        <v>0</v>
      </c>
      <c r="AG7" s="17">
        <v>0</v>
      </c>
      <c r="AH7" s="17">
        <v>0</v>
      </c>
      <c r="AI7" s="17" t="s">
        <v>47</v>
      </c>
      <c r="AJ7" s="17"/>
      <c r="AK7" s="21"/>
    </row>
    <row r="8" spans="1:37" x14ac:dyDescent="0.25">
      <c r="A8" s="12" t="s">
        <v>63</v>
      </c>
      <c r="B8" s="12">
        <v>59</v>
      </c>
      <c r="C8" s="24">
        <v>15.4</v>
      </c>
      <c r="D8" s="25">
        <v>42856</v>
      </c>
      <c r="E8" s="14">
        <f>[1]!Tabela1[[#This Row],[PSA]]/[1]!Tabela1[[#This Row],[MRI vol]]</f>
        <v>0.51333333333333331</v>
      </c>
      <c r="F8" s="12"/>
      <c r="G8" s="12"/>
      <c r="H8" s="12">
        <v>30</v>
      </c>
      <c r="I8" s="12">
        <v>5</v>
      </c>
      <c r="J8" s="12" t="s">
        <v>64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23</v>
      </c>
      <c r="R8" s="15">
        <v>1</v>
      </c>
      <c r="S8" s="12"/>
      <c r="T8" s="12"/>
      <c r="U8" s="12">
        <v>1</v>
      </c>
      <c r="V8" s="12"/>
      <c r="W8" s="12"/>
      <c r="X8" s="12">
        <v>2</v>
      </c>
      <c r="Y8" s="12">
        <v>2</v>
      </c>
      <c r="Z8" s="12">
        <v>2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 t="s">
        <v>53</v>
      </c>
      <c r="AJ8" s="12"/>
      <c r="AK8" s="16"/>
    </row>
    <row r="9" spans="1:37" x14ac:dyDescent="0.25">
      <c r="A9" s="17" t="s">
        <v>65</v>
      </c>
      <c r="B9" s="17">
        <v>63</v>
      </c>
      <c r="C9" s="17">
        <v>8.3000000000000007</v>
      </c>
      <c r="D9" s="23">
        <v>43466</v>
      </c>
      <c r="E9" s="19">
        <f>[1]!Tabela1[[#This Row],[PSA]]/[1]!Tabela1[[#This Row],[MRI vol]]</f>
        <v>0.18863636363636366</v>
      </c>
      <c r="F9" s="17"/>
      <c r="G9" s="17"/>
      <c r="H9" s="17">
        <v>44</v>
      </c>
      <c r="I9" s="17">
        <v>4</v>
      </c>
      <c r="J9" s="17" t="s">
        <v>66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6</v>
      </c>
      <c r="R9" s="20">
        <v>2</v>
      </c>
      <c r="S9" s="20">
        <v>10</v>
      </c>
      <c r="T9" s="17" t="s">
        <v>67</v>
      </c>
      <c r="U9" s="17">
        <v>3</v>
      </c>
      <c r="V9" s="17">
        <v>10</v>
      </c>
      <c r="W9" s="26" t="s">
        <v>68</v>
      </c>
      <c r="X9" s="17">
        <v>3</v>
      </c>
      <c r="Y9" s="17">
        <v>2</v>
      </c>
      <c r="Z9" s="17">
        <v>3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 t="s">
        <v>53</v>
      </c>
      <c r="AJ9" s="17"/>
      <c r="AK9" s="21"/>
    </row>
    <row r="10" spans="1:37" x14ac:dyDescent="0.25">
      <c r="A10" s="12" t="s">
        <v>69</v>
      </c>
      <c r="B10" s="12">
        <v>63</v>
      </c>
      <c r="C10" s="12">
        <v>97</v>
      </c>
      <c r="D10" s="25">
        <v>43709</v>
      </c>
      <c r="E10" s="14">
        <f>[1]!Tabela1[[#This Row],[PSA]]/[1]!Tabela1[[#This Row],[MRI vol]]</f>
        <v>2.4249999999999998</v>
      </c>
      <c r="F10" s="12"/>
      <c r="G10" s="12"/>
      <c r="H10" s="12">
        <v>40</v>
      </c>
      <c r="I10" s="12">
        <v>5</v>
      </c>
      <c r="J10" s="12" t="s">
        <v>70</v>
      </c>
      <c r="K10" s="15">
        <v>1</v>
      </c>
      <c r="L10" s="15">
        <v>1</v>
      </c>
      <c r="M10" s="15">
        <v>1</v>
      </c>
      <c r="N10" s="15">
        <v>1</v>
      </c>
      <c r="O10" s="15">
        <v>1</v>
      </c>
      <c r="P10" s="15">
        <v>1</v>
      </c>
      <c r="Q10" s="15"/>
      <c r="R10" s="15">
        <v>4</v>
      </c>
      <c r="S10" s="12">
        <v>100</v>
      </c>
      <c r="T10" s="12" t="s">
        <v>71</v>
      </c>
      <c r="U10" s="12">
        <v>4</v>
      </c>
      <c r="V10" s="12">
        <v>100</v>
      </c>
      <c r="W10" s="12" t="s">
        <v>71</v>
      </c>
      <c r="X10" s="12">
        <v>4</v>
      </c>
      <c r="Y10" s="12">
        <v>4</v>
      </c>
      <c r="Z10" s="12">
        <v>4</v>
      </c>
      <c r="AA10" s="12">
        <v>0</v>
      </c>
      <c r="AB10" s="12">
        <v>1</v>
      </c>
      <c r="AC10" s="12">
        <v>1</v>
      </c>
      <c r="AD10" s="12">
        <v>1</v>
      </c>
      <c r="AE10" s="12">
        <v>1</v>
      </c>
      <c r="AF10" s="12">
        <v>1</v>
      </c>
      <c r="AG10" s="12">
        <v>1</v>
      </c>
      <c r="AH10" s="12">
        <v>0</v>
      </c>
      <c r="AI10" s="12" t="s">
        <v>72</v>
      </c>
      <c r="AJ10" s="12" t="s">
        <v>73</v>
      </c>
      <c r="AK10" s="16" t="s">
        <v>74</v>
      </c>
    </row>
    <row r="11" spans="1:37" x14ac:dyDescent="0.25">
      <c r="A11" s="17" t="s">
        <v>75</v>
      </c>
      <c r="B11" s="17">
        <v>59</v>
      </c>
      <c r="C11" s="24">
        <v>6.7</v>
      </c>
      <c r="D11" s="18" t="s">
        <v>76</v>
      </c>
      <c r="E11" s="19">
        <f>[1]!Tabela1[[#This Row],[PSA]]/[1]!Tabela1[[#This Row],[MRI vol]]</f>
        <v>0.1046875</v>
      </c>
      <c r="F11" s="17"/>
      <c r="G11" s="17"/>
      <c r="H11" s="17">
        <v>64</v>
      </c>
      <c r="I11" s="17">
        <v>4</v>
      </c>
      <c r="J11" s="17" t="s">
        <v>77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11</v>
      </c>
      <c r="R11" s="20">
        <v>1</v>
      </c>
      <c r="S11" s="17">
        <v>45</v>
      </c>
      <c r="T11" s="17"/>
      <c r="U11" s="17">
        <v>1</v>
      </c>
      <c r="V11" s="17">
        <v>55</v>
      </c>
      <c r="W11" s="17"/>
      <c r="X11" s="17">
        <v>1</v>
      </c>
      <c r="Y11" s="17">
        <v>1</v>
      </c>
      <c r="Z11" s="17">
        <v>1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 t="s">
        <v>53</v>
      </c>
      <c r="AJ11" s="17"/>
      <c r="AK11" s="21"/>
    </row>
    <row r="12" spans="1:37" x14ac:dyDescent="0.25">
      <c r="A12" s="12" t="s">
        <v>78</v>
      </c>
      <c r="B12" s="12">
        <v>56</v>
      </c>
      <c r="C12" s="24">
        <v>4.75</v>
      </c>
      <c r="D12" s="27">
        <v>43435</v>
      </c>
      <c r="E12" s="14">
        <f>[1]!Tabela1[[#This Row],[PSA]]/[1]!Tabela1[[#This Row],[MRI vol]]</f>
        <v>0.15833333333333333</v>
      </c>
      <c r="F12" s="12"/>
      <c r="G12" s="12"/>
      <c r="H12" s="12">
        <v>30</v>
      </c>
      <c r="I12" s="12">
        <v>5</v>
      </c>
      <c r="J12" s="12" t="s">
        <v>79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15</v>
      </c>
      <c r="R12" s="15">
        <v>2</v>
      </c>
      <c r="S12" s="12">
        <v>45</v>
      </c>
      <c r="T12" s="12" t="s">
        <v>80</v>
      </c>
      <c r="U12" s="12">
        <v>1</v>
      </c>
      <c r="V12" s="12">
        <v>6</v>
      </c>
      <c r="W12" s="12" t="s">
        <v>40</v>
      </c>
      <c r="X12" s="12">
        <v>3</v>
      </c>
      <c r="Y12" s="12">
        <v>3</v>
      </c>
      <c r="Z12" s="12">
        <v>1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 t="s">
        <v>53</v>
      </c>
      <c r="AJ12" s="12"/>
      <c r="AK12" s="16"/>
    </row>
    <row r="13" spans="1:37" x14ac:dyDescent="0.25">
      <c r="A13" s="17" t="s">
        <v>81</v>
      </c>
      <c r="B13" s="17">
        <v>52</v>
      </c>
      <c r="C13" s="24">
        <v>10.92</v>
      </c>
      <c r="D13" s="28">
        <v>42461</v>
      </c>
      <c r="E13" s="19">
        <f>[1]!Tabela1[[#This Row],[PSA]]/[1]!Tabela1[[#This Row],[MRI vol]]</f>
        <v>0.39</v>
      </c>
      <c r="F13" s="17"/>
      <c r="G13" s="17"/>
      <c r="H13" s="17">
        <v>28</v>
      </c>
      <c r="I13" s="17">
        <v>4</v>
      </c>
      <c r="J13" s="17" t="s">
        <v>82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10</v>
      </c>
      <c r="R13" s="20">
        <v>1</v>
      </c>
      <c r="S13" s="17">
        <v>40</v>
      </c>
      <c r="T13" s="17"/>
      <c r="U13" s="17">
        <v>1</v>
      </c>
      <c r="V13" s="17">
        <v>40</v>
      </c>
      <c r="W13" s="17"/>
      <c r="X13" s="17">
        <v>1</v>
      </c>
      <c r="Y13" s="17">
        <v>1</v>
      </c>
      <c r="Z13" s="17">
        <v>1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 t="s">
        <v>53</v>
      </c>
      <c r="AJ13" s="17"/>
      <c r="AK13" s="21"/>
    </row>
    <row r="14" spans="1:37" x14ac:dyDescent="0.25">
      <c r="A14" s="12" t="s">
        <v>83</v>
      </c>
      <c r="B14" s="12">
        <v>59</v>
      </c>
      <c r="C14" s="12">
        <v>6.92</v>
      </c>
      <c r="D14" s="27">
        <v>42675</v>
      </c>
      <c r="E14" s="14">
        <f>[1]!Tabela1[[#This Row],[PSA]]/[1]!Tabela1[[#This Row],[MRI vol]]</f>
        <v>0.23066666666666666</v>
      </c>
      <c r="F14" s="12"/>
      <c r="G14" s="12"/>
      <c r="H14" s="12">
        <v>30</v>
      </c>
      <c r="I14" s="12">
        <v>4</v>
      </c>
      <c r="J14" s="12" t="s">
        <v>84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13</v>
      </c>
      <c r="R14" s="15">
        <v>1</v>
      </c>
      <c r="S14" s="12"/>
      <c r="T14" s="12"/>
      <c r="U14" s="12">
        <v>1</v>
      </c>
      <c r="V14" s="12"/>
      <c r="W14" s="12"/>
      <c r="X14" s="12">
        <v>2</v>
      </c>
      <c r="Y14" s="12">
        <v>2</v>
      </c>
      <c r="Z14" s="12">
        <v>2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 t="s">
        <v>53</v>
      </c>
      <c r="AJ14" s="12"/>
      <c r="AK14" s="16"/>
    </row>
    <row r="15" spans="1:37" x14ac:dyDescent="0.25">
      <c r="A15" s="17" t="s">
        <v>85</v>
      </c>
      <c r="B15" s="17">
        <v>63</v>
      </c>
      <c r="C15" s="17">
        <v>3.65</v>
      </c>
      <c r="D15" s="28">
        <v>42248</v>
      </c>
      <c r="E15" s="19">
        <f>[1]!Tabela1[[#This Row],[PSA]]/[1]!Tabela1[[#This Row],[MRI vol]]</f>
        <v>9.6052631578947362E-2</v>
      </c>
      <c r="F15" s="17"/>
      <c r="G15" s="17"/>
      <c r="H15" s="17">
        <v>38</v>
      </c>
      <c r="I15" s="17">
        <v>4</v>
      </c>
      <c r="J15" s="17" t="s">
        <v>86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10</v>
      </c>
      <c r="R15" s="20">
        <v>1</v>
      </c>
      <c r="S15" s="17"/>
      <c r="T15" s="17"/>
      <c r="U15" s="20">
        <v>0</v>
      </c>
      <c r="V15" s="17"/>
      <c r="W15" s="17"/>
      <c r="X15" s="17">
        <v>2</v>
      </c>
      <c r="Y15" s="17">
        <v>2</v>
      </c>
      <c r="Z15" s="17">
        <v>2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 t="s">
        <v>53</v>
      </c>
      <c r="AJ15" s="17"/>
      <c r="AK15" s="21"/>
    </row>
    <row r="16" spans="1:37" x14ac:dyDescent="0.25">
      <c r="A16" s="12" t="s">
        <v>87</v>
      </c>
      <c r="B16" s="12">
        <v>70</v>
      </c>
      <c r="C16" s="12">
        <v>10</v>
      </c>
      <c r="D16" s="27">
        <v>42309</v>
      </c>
      <c r="E16" s="14">
        <f>[1]!Tabela1[[#This Row],[PSA]]/[1]!Tabela1[[#This Row],[MRI vol]]</f>
        <v>0.27027027027027029</v>
      </c>
      <c r="F16" s="12"/>
      <c r="G16" s="12"/>
      <c r="H16" s="12">
        <v>37</v>
      </c>
      <c r="I16" s="12">
        <v>4</v>
      </c>
      <c r="J16" s="12" t="s">
        <v>88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11</v>
      </c>
      <c r="R16" s="15">
        <v>1</v>
      </c>
      <c r="S16" s="29">
        <v>0.1</v>
      </c>
      <c r="T16" s="12" t="s">
        <v>40</v>
      </c>
      <c r="U16" s="15">
        <v>0</v>
      </c>
      <c r="V16" s="15">
        <v>0</v>
      </c>
      <c r="W16" s="12" t="s">
        <v>89</v>
      </c>
      <c r="X16" s="12">
        <v>1</v>
      </c>
      <c r="Y16" s="12">
        <v>1</v>
      </c>
      <c r="Z16" s="12">
        <v>1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 t="s">
        <v>53</v>
      </c>
      <c r="AJ16" s="12"/>
      <c r="AK16" s="16"/>
    </row>
    <row r="17" spans="1:37" x14ac:dyDescent="0.25">
      <c r="A17" s="17" t="s">
        <v>90</v>
      </c>
      <c r="B17" s="17">
        <v>72</v>
      </c>
      <c r="C17" s="17">
        <v>35</v>
      </c>
      <c r="D17" s="28">
        <v>43221</v>
      </c>
      <c r="E17" s="19">
        <f>[1]!Tabela1[[#This Row],[PSA]]/[1]!Tabela1[[#This Row],[MRI vol]]</f>
        <v>0.63636363636363635</v>
      </c>
      <c r="F17" s="17"/>
      <c r="G17" s="17"/>
      <c r="H17" s="17">
        <v>55</v>
      </c>
      <c r="I17" s="17">
        <v>5</v>
      </c>
      <c r="J17" s="17" t="s">
        <v>91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24</v>
      </c>
      <c r="R17" s="20">
        <v>2</v>
      </c>
      <c r="S17" s="17"/>
      <c r="T17" s="17" t="s">
        <v>92</v>
      </c>
      <c r="U17" s="17">
        <v>0</v>
      </c>
      <c r="V17" s="17">
        <v>0</v>
      </c>
      <c r="W17" s="17" t="s">
        <v>89</v>
      </c>
      <c r="X17" s="17">
        <v>2</v>
      </c>
      <c r="Y17" s="17">
        <v>2</v>
      </c>
      <c r="Z17" s="17">
        <v>2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 t="s">
        <v>53</v>
      </c>
      <c r="AJ17" s="17"/>
      <c r="AK17" s="21"/>
    </row>
    <row r="18" spans="1:37" x14ac:dyDescent="0.25">
      <c r="A18" s="12" t="s">
        <v>93</v>
      </c>
      <c r="B18" s="12">
        <v>70</v>
      </c>
      <c r="C18" s="12">
        <v>7.3</v>
      </c>
      <c r="D18" s="27">
        <v>44075</v>
      </c>
      <c r="E18" s="14">
        <f>[1]!Tabela1[[#This Row],[PSA]]/[1]!Tabela1[[#This Row],[MRI vol]]</f>
        <v>0.21470588235294116</v>
      </c>
      <c r="F18" s="12"/>
      <c r="G18" s="12"/>
      <c r="H18" s="12">
        <v>34</v>
      </c>
      <c r="I18" s="12">
        <v>4</v>
      </c>
      <c r="J18" s="12" t="s">
        <v>94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12</v>
      </c>
      <c r="R18" s="15">
        <v>0</v>
      </c>
      <c r="S18" s="15">
        <v>0</v>
      </c>
      <c r="T18" s="12" t="s">
        <v>89</v>
      </c>
      <c r="U18" s="12">
        <v>2</v>
      </c>
      <c r="V18" s="12">
        <v>25</v>
      </c>
      <c r="W18" s="12" t="s">
        <v>95</v>
      </c>
      <c r="X18" s="12">
        <v>2</v>
      </c>
      <c r="Y18" s="12">
        <v>2</v>
      </c>
      <c r="Z18" s="12">
        <v>2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 t="s">
        <v>53</v>
      </c>
      <c r="AJ18" s="12"/>
      <c r="AK18" s="16"/>
    </row>
    <row r="19" spans="1:37" x14ac:dyDescent="0.25">
      <c r="A19" s="17" t="s">
        <v>96</v>
      </c>
      <c r="B19" s="17">
        <v>71</v>
      </c>
      <c r="C19" s="17">
        <v>18</v>
      </c>
      <c r="D19" s="28">
        <v>44075</v>
      </c>
      <c r="E19" s="19">
        <f>[1]!Tabela1[[#This Row],[PSA]]/[1]!Tabela1[[#This Row],[MRI vol]]</f>
        <v>0.6428571428571429</v>
      </c>
      <c r="F19" s="17"/>
      <c r="G19" s="17"/>
      <c r="H19" s="17">
        <v>28</v>
      </c>
      <c r="I19" s="17">
        <v>4</v>
      </c>
      <c r="J19" s="17" t="s">
        <v>97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14</v>
      </c>
      <c r="R19" s="20">
        <v>3</v>
      </c>
      <c r="S19" s="17">
        <v>60</v>
      </c>
      <c r="T19" s="17"/>
      <c r="U19" s="17">
        <v>2</v>
      </c>
      <c r="V19" s="17">
        <v>15</v>
      </c>
      <c r="W19" s="17"/>
      <c r="X19" s="17">
        <v>3</v>
      </c>
      <c r="Y19" s="17">
        <v>3</v>
      </c>
      <c r="Z19" s="17">
        <v>3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 t="s">
        <v>53</v>
      </c>
      <c r="AJ19" s="17"/>
      <c r="AK19" s="21"/>
    </row>
    <row r="20" spans="1:37" x14ac:dyDescent="0.25">
      <c r="A20" s="12" t="s">
        <v>98</v>
      </c>
      <c r="B20" s="12">
        <v>68</v>
      </c>
      <c r="C20" s="12">
        <v>9</v>
      </c>
      <c r="D20" s="27">
        <v>43160</v>
      </c>
      <c r="E20" s="14">
        <f>[1]!Tabela1[[#This Row],[PSA]]/[1]!Tabela1[[#This Row],[MRI vol]]</f>
        <v>0.15517241379310345</v>
      </c>
      <c r="F20" s="12"/>
      <c r="G20" s="12"/>
      <c r="H20" s="12">
        <v>58</v>
      </c>
      <c r="I20" s="12">
        <v>4</v>
      </c>
      <c r="J20" s="12" t="s">
        <v>99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9</v>
      </c>
      <c r="R20" s="15">
        <v>2</v>
      </c>
      <c r="S20" s="15">
        <v>10</v>
      </c>
      <c r="T20" s="12" t="s">
        <v>95</v>
      </c>
      <c r="U20" s="15">
        <v>0</v>
      </c>
      <c r="V20" s="15">
        <v>0</v>
      </c>
      <c r="W20" s="12" t="s">
        <v>89</v>
      </c>
      <c r="X20" s="12">
        <v>2</v>
      </c>
      <c r="Y20" s="12">
        <v>2</v>
      </c>
      <c r="Z20" s="12">
        <v>2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 t="s">
        <v>53</v>
      </c>
      <c r="AJ20" s="12"/>
      <c r="AK20" s="16"/>
    </row>
    <row r="21" spans="1:37" x14ac:dyDescent="0.25">
      <c r="A21" s="17" t="s">
        <v>100</v>
      </c>
      <c r="B21" s="17">
        <v>66</v>
      </c>
      <c r="C21" s="17">
        <v>7.9</v>
      </c>
      <c r="D21" s="28">
        <v>42767</v>
      </c>
      <c r="E21" s="19">
        <f>[1]!Tabela1[[#This Row],[PSA]]/[1]!Tabela1[[#This Row],[MRI vol]]</f>
        <v>0.25483870967741934</v>
      </c>
      <c r="F21" s="17"/>
      <c r="G21" s="17"/>
      <c r="H21" s="17">
        <v>31</v>
      </c>
      <c r="I21" s="17">
        <v>3</v>
      </c>
      <c r="J21" s="17" t="s">
        <v>101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11</v>
      </c>
      <c r="R21" s="20">
        <v>4</v>
      </c>
      <c r="S21" s="17"/>
      <c r="T21" s="17"/>
      <c r="U21" s="20">
        <v>0</v>
      </c>
      <c r="V21" s="17"/>
      <c r="W21" s="17"/>
      <c r="X21" s="17">
        <v>1</v>
      </c>
      <c r="Y21" s="17">
        <v>1</v>
      </c>
      <c r="Z21" s="17">
        <v>1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 t="s">
        <v>53</v>
      </c>
      <c r="AJ21" s="17"/>
      <c r="AK21" s="21"/>
    </row>
    <row r="22" spans="1:37" x14ac:dyDescent="0.25">
      <c r="A22" s="12" t="s">
        <v>102</v>
      </c>
      <c r="B22" s="12">
        <v>53</v>
      </c>
      <c r="C22" s="12">
        <v>30</v>
      </c>
      <c r="D22" s="27">
        <v>43466</v>
      </c>
      <c r="E22" s="14" t="e">
        <f>[1]!Tabela1[[#This Row],[PSA]]/[1]!Tabela1[[#This Row],[MRI vol]]</f>
        <v>#DIV/0!</v>
      </c>
      <c r="F22" s="12"/>
      <c r="G22" s="12"/>
      <c r="H22" s="12"/>
      <c r="I22" s="12"/>
      <c r="J22" s="12"/>
      <c r="K22" s="15"/>
      <c r="L22" s="15"/>
      <c r="M22" s="15"/>
      <c r="N22" s="15"/>
      <c r="O22" s="15"/>
      <c r="P22" s="15"/>
      <c r="Q22" s="15"/>
      <c r="R22" s="15">
        <v>4</v>
      </c>
      <c r="S22" s="12"/>
      <c r="T22" s="12"/>
      <c r="U22" s="12">
        <v>4</v>
      </c>
      <c r="V22" s="12"/>
      <c r="W22" s="12"/>
      <c r="X22" s="12">
        <v>5</v>
      </c>
      <c r="Y22" s="12">
        <v>5</v>
      </c>
      <c r="Z22" s="12">
        <v>5</v>
      </c>
      <c r="AA22" s="12">
        <v>0</v>
      </c>
      <c r="AB22" s="12">
        <v>1</v>
      </c>
      <c r="AC22" s="12">
        <v>1</v>
      </c>
      <c r="AD22" s="12">
        <v>1</v>
      </c>
      <c r="AE22" s="12">
        <v>1</v>
      </c>
      <c r="AF22" s="12">
        <v>1</v>
      </c>
      <c r="AG22" s="12">
        <v>1</v>
      </c>
      <c r="AH22" s="12">
        <v>1</v>
      </c>
      <c r="AI22" s="12" t="s">
        <v>72</v>
      </c>
      <c r="AJ22" s="12"/>
      <c r="AK22" s="16" t="s">
        <v>103</v>
      </c>
    </row>
    <row r="23" spans="1:37" x14ac:dyDescent="0.25">
      <c r="A23" s="17" t="s">
        <v>104</v>
      </c>
      <c r="B23" s="17">
        <v>52</v>
      </c>
      <c r="C23" s="17">
        <v>3.8</v>
      </c>
      <c r="D23" s="28">
        <v>42644</v>
      </c>
      <c r="E23" s="19">
        <f>[1]!Tabela1[[#This Row],[PSA]]/[1]!Tabela1[[#This Row],[MRI vol]]</f>
        <v>0.11176470588235293</v>
      </c>
      <c r="F23" s="17"/>
      <c r="G23" s="17"/>
      <c r="H23" s="17">
        <v>34</v>
      </c>
      <c r="I23" s="17">
        <v>2</v>
      </c>
      <c r="J23" s="17"/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v>0</v>
      </c>
      <c r="S23" s="17"/>
      <c r="T23" s="17"/>
      <c r="U23" s="17">
        <v>1</v>
      </c>
      <c r="V23" s="17">
        <v>5</v>
      </c>
      <c r="W23" s="17" t="s">
        <v>105</v>
      </c>
      <c r="X23" s="17">
        <v>1</v>
      </c>
      <c r="Y23" s="17">
        <v>1</v>
      </c>
      <c r="Z23" s="17">
        <v>1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 t="s">
        <v>53</v>
      </c>
      <c r="AJ23" s="17"/>
      <c r="AK23" s="21"/>
    </row>
    <row r="24" spans="1:37" x14ac:dyDescent="0.25">
      <c r="A24" s="12" t="s">
        <v>106</v>
      </c>
      <c r="B24" s="12">
        <v>55</v>
      </c>
      <c r="C24" s="12">
        <v>6.6</v>
      </c>
      <c r="D24" s="27">
        <v>44075</v>
      </c>
      <c r="E24" s="14">
        <f>[1]!Tabela1[[#This Row],[PSA]]/[1]!Tabela1[[#This Row],[MRI vol]]</f>
        <v>0.12</v>
      </c>
      <c r="F24" s="12"/>
      <c r="G24" s="12"/>
      <c r="H24" s="12">
        <v>55</v>
      </c>
      <c r="I24" s="12">
        <v>5</v>
      </c>
      <c r="J24" s="12" t="s">
        <v>107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16</v>
      </c>
      <c r="R24" s="15">
        <v>1</v>
      </c>
      <c r="S24" s="12"/>
      <c r="T24" s="12"/>
      <c r="U24" s="15">
        <v>1</v>
      </c>
      <c r="V24" s="12"/>
      <c r="W24" s="12"/>
      <c r="X24" s="12">
        <v>3</v>
      </c>
      <c r="Y24" s="12">
        <v>3</v>
      </c>
      <c r="Z24" s="12">
        <v>3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 t="s">
        <v>53</v>
      </c>
      <c r="AJ24" s="12"/>
      <c r="AK24" s="16"/>
    </row>
    <row r="25" spans="1:37" x14ac:dyDescent="0.25">
      <c r="A25" s="17" t="s">
        <v>108</v>
      </c>
      <c r="B25" s="17">
        <v>70</v>
      </c>
      <c r="C25" s="17">
        <v>7.3</v>
      </c>
      <c r="D25" s="28">
        <v>43282</v>
      </c>
      <c r="E25" s="19">
        <f>[1]!Tabela1[[#This Row],[PSA]]/[1]!Tabela1[[#This Row],[MRI vol]]</f>
        <v>0.16976744186046511</v>
      </c>
      <c r="F25" s="17"/>
      <c r="G25" s="17"/>
      <c r="H25" s="17">
        <v>43</v>
      </c>
      <c r="I25" s="17">
        <v>4</v>
      </c>
      <c r="J25" s="17" t="s">
        <v>109</v>
      </c>
      <c r="K25" s="20">
        <v>0</v>
      </c>
      <c r="L25" s="20">
        <v>0</v>
      </c>
      <c r="M25" s="20">
        <v>0</v>
      </c>
      <c r="N25" s="20">
        <v>0</v>
      </c>
      <c r="O25" s="20"/>
      <c r="P25" s="20">
        <v>0</v>
      </c>
      <c r="Q25" s="20">
        <v>12</v>
      </c>
      <c r="R25" s="20">
        <v>4</v>
      </c>
      <c r="S25" s="20">
        <v>100</v>
      </c>
      <c r="T25" s="17"/>
      <c r="U25" s="20">
        <v>0</v>
      </c>
      <c r="V25" s="17"/>
      <c r="W25" s="17"/>
      <c r="X25" s="17">
        <v>4</v>
      </c>
      <c r="Y25" s="17">
        <v>4</v>
      </c>
      <c r="Z25" s="17">
        <v>4</v>
      </c>
      <c r="AA25" s="17">
        <v>0</v>
      </c>
      <c r="AB25" s="17">
        <v>0</v>
      </c>
      <c r="AC25" s="17">
        <v>1</v>
      </c>
      <c r="AD25" s="17">
        <v>1</v>
      </c>
      <c r="AE25" s="17">
        <v>1</v>
      </c>
      <c r="AF25" s="17">
        <v>0</v>
      </c>
      <c r="AG25" s="17">
        <v>0</v>
      </c>
      <c r="AH25" s="17">
        <v>0</v>
      </c>
      <c r="AI25" s="17" t="s">
        <v>47</v>
      </c>
      <c r="AJ25" s="17"/>
      <c r="AK25" s="21"/>
    </row>
    <row r="26" spans="1:37" x14ac:dyDescent="0.25">
      <c r="A26" s="12" t="s">
        <v>110</v>
      </c>
      <c r="B26" s="12">
        <v>65</v>
      </c>
      <c r="C26" s="12">
        <v>19</v>
      </c>
      <c r="D26" s="27">
        <v>42830</v>
      </c>
      <c r="E26" s="14">
        <f>[1]!Tabela1[[#This Row],[PSA]]/[1]!Tabela1[[#This Row],[MRI vol]]</f>
        <v>0.90476190476190477</v>
      </c>
      <c r="F26" s="12"/>
      <c r="G26" s="12"/>
      <c r="H26" s="12">
        <v>21</v>
      </c>
      <c r="I26" s="12">
        <v>4</v>
      </c>
      <c r="J26" s="12" t="s">
        <v>111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10</v>
      </c>
      <c r="R26" s="15">
        <v>1</v>
      </c>
      <c r="S26" s="12"/>
      <c r="T26" s="12"/>
      <c r="U26" s="15">
        <v>1</v>
      </c>
      <c r="V26" s="12"/>
      <c r="W26" s="12"/>
      <c r="X26" s="12">
        <v>1</v>
      </c>
      <c r="Y26" s="12">
        <v>1</v>
      </c>
      <c r="Z26" s="12">
        <v>1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 t="s">
        <v>53</v>
      </c>
      <c r="AJ26" s="12"/>
      <c r="AK26" s="16"/>
    </row>
    <row r="27" spans="1:37" x14ac:dyDescent="0.25">
      <c r="A27" s="17" t="s">
        <v>112</v>
      </c>
      <c r="B27" s="17">
        <v>57</v>
      </c>
      <c r="C27" s="17">
        <v>5.2</v>
      </c>
      <c r="D27" s="28">
        <v>42917</v>
      </c>
      <c r="E27" s="19">
        <f>[1]!Tabela1[[#This Row],[PSA]]/[1]!Tabela1[[#This Row],[MRI vol]]</f>
        <v>7.1232876712328766E-2</v>
      </c>
      <c r="F27" s="17"/>
      <c r="G27" s="17"/>
      <c r="H27" s="17">
        <v>73</v>
      </c>
      <c r="I27" s="17">
        <v>2</v>
      </c>
      <c r="J27" s="17" t="s">
        <v>109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20">
        <v>1</v>
      </c>
      <c r="S27" s="17"/>
      <c r="T27" s="17"/>
      <c r="U27" s="20">
        <v>0</v>
      </c>
      <c r="V27" s="17"/>
      <c r="W27" s="17"/>
      <c r="X27" s="17">
        <v>1</v>
      </c>
      <c r="Y27" s="17">
        <v>1</v>
      </c>
      <c r="Z27" s="17">
        <v>1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 t="s">
        <v>53</v>
      </c>
      <c r="AJ27" s="17"/>
      <c r="AK27" s="21"/>
    </row>
    <row r="28" spans="1:37" x14ac:dyDescent="0.25">
      <c r="A28" s="12" t="s">
        <v>113</v>
      </c>
      <c r="B28" s="12">
        <v>72</v>
      </c>
      <c r="C28" s="12">
        <v>13</v>
      </c>
      <c r="D28" s="27">
        <v>42522</v>
      </c>
      <c r="E28" s="14">
        <f>[1]!Tabela1[[#This Row],[PSA]]/[1]!Tabela1[[#This Row],[MRI vol]]</f>
        <v>0.22413793103448276</v>
      </c>
      <c r="F28" s="12"/>
      <c r="G28" s="12"/>
      <c r="H28" s="12">
        <v>58</v>
      </c>
      <c r="I28" s="12">
        <v>4</v>
      </c>
      <c r="J28" s="12" t="s">
        <v>109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10</v>
      </c>
      <c r="R28" s="15">
        <v>4</v>
      </c>
      <c r="S28" s="15"/>
      <c r="T28" s="12"/>
      <c r="U28" s="15">
        <v>0</v>
      </c>
      <c r="V28" s="12"/>
      <c r="W28" s="12"/>
      <c r="X28" s="12">
        <v>3</v>
      </c>
      <c r="Y28" s="12">
        <v>3</v>
      </c>
      <c r="Z28" s="12">
        <v>3</v>
      </c>
      <c r="AA28" s="12">
        <v>0</v>
      </c>
      <c r="AB28" s="12">
        <v>0</v>
      </c>
      <c r="AC28" s="12">
        <v>1</v>
      </c>
      <c r="AD28" s="12">
        <v>1</v>
      </c>
      <c r="AE28" s="12">
        <v>1</v>
      </c>
      <c r="AF28" s="12">
        <v>0</v>
      </c>
      <c r="AG28" s="12">
        <v>0</v>
      </c>
      <c r="AH28" s="12">
        <v>0</v>
      </c>
      <c r="AI28" s="12" t="s">
        <v>47</v>
      </c>
      <c r="AJ28" s="12"/>
      <c r="AK28" s="16"/>
    </row>
    <row r="29" spans="1:37" x14ac:dyDescent="0.25">
      <c r="A29" s="17" t="s">
        <v>114</v>
      </c>
      <c r="B29" s="17">
        <v>72</v>
      </c>
      <c r="C29" s="17">
        <v>1.9</v>
      </c>
      <c r="D29" s="28">
        <v>42948</v>
      </c>
      <c r="E29" s="19">
        <f>[1]!Tabela1[[#This Row],[PSA]]/[1]!Tabela1[[#This Row],[MRI vol]]</f>
        <v>8.6363636363636365E-2</v>
      </c>
      <c r="F29" s="17"/>
      <c r="G29" s="17"/>
      <c r="H29" s="17">
        <v>22</v>
      </c>
      <c r="I29" s="17">
        <v>4</v>
      </c>
      <c r="J29" s="17" t="s">
        <v>115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11</v>
      </c>
      <c r="R29" s="20">
        <v>0</v>
      </c>
      <c r="S29" s="17"/>
      <c r="T29" s="17"/>
      <c r="U29" s="20">
        <v>1</v>
      </c>
      <c r="V29" s="17"/>
      <c r="W29" s="17"/>
      <c r="X29" s="17">
        <v>2</v>
      </c>
      <c r="Y29" s="17">
        <v>2</v>
      </c>
      <c r="Z29" s="17">
        <v>2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 t="s">
        <v>53</v>
      </c>
      <c r="AJ29" s="17"/>
      <c r="AK29" s="21"/>
    </row>
    <row r="30" spans="1:37" x14ac:dyDescent="0.25">
      <c r="A30" s="12" t="s">
        <v>116</v>
      </c>
      <c r="B30" s="12">
        <v>77</v>
      </c>
      <c r="C30" s="12">
        <v>6.6</v>
      </c>
      <c r="D30" s="27">
        <v>42736</v>
      </c>
      <c r="E30" s="14">
        <f>[1]!Tabela1[[#This Row],[PSA]]/[1]!Tabela1[[#This Row],[MRI vol]]</f>
        <v>0.17368421052631577</v>
      </c>
      <c r="F30" s="12"/>
      <c r="G30" s="12"/>
      <c r="H30" s="12">
        <v>38</v>
      </c>
      <c r="I30" s="12">
        <v>4</v>
      </c>
      <c r="J30" s="12" t="s">
        <v>111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10</v>
      </c>
      <c r="R30" s="15">
        <v>0</v>
      </c>
      <c r="S30" s="12"/>
      <c r="T30" s="12"/>
      <c r="U30" s="15">
        <v>1</v>
      </c>
      <c r="V30" s="12"/>
      <c r="W30" s="12"/>
      <c r="X30" s="12">
        <v>3</v>
      </c>
      <c r="Y30" s="12">
        <v>3</v>
      </c>
      <c r="Z30" s="12">
        <v>3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 t="s">
        <v>53</v>
      </c>
      <c r="AJ30" s="12"/>
      <c r="AK30" s="16"/>
    </row>
    <row r="31" spans="1:37" x14ac:dyDescent="0.25">
      <c r="A31" s="17" t="s">
        <v>117</v>
      </c>
      <c r="B31" s="17">
        <v>68</v>
      </c>
      <c r="C31" s="17">
        <v>4.4000000000000004</v>
      </c>
      <c r="D31" s="28">
        <v>43374</v>
      </c>
      <c r="E31" s="19">
        <f>[1]!Tabela1[[#This Row],[PSA]]/[1]!Tabela1[[#This Row],[MRI vol]]</f>
        <v>0.13750000000000001</v>
      </c>
      <c r="F31" s="17"/>
      <c r="G31" s="17"/>
      <c r="H31" s="17">
        <v>32</v>
      </c>
      <c r="I31" s="17">
        <v>4</v>
      </c>
      <c r="J31" s="17" t="s">
        <v>109</v>
      </c>
      <c r="K31" s="20">
        <v>1</v>
      </c>
      <c r="L31" s="20">
        <v>0</v>
      </c>
      <c r="M31" s="20">
        <v>1</v>
      </c>
      <c r="N31" s="20">
        <v>0</v>
      </c>
      <c r="O31" s="20">
        <v>0</v>
      </c>
      <c r="P31" s="20">
        <v>0</v>
      </c>
      <c r="Q31" s="20">
        <v>12</v>
      </c>
      <c r="R31" s="20">
        <v>4</v>
      </c>
      <c r="S31" s="20">
        <v>100</v>
      </c>
      <c r="T31" s="20">
        <v>6</v>
      </c>
      <c r="U31" s="20">
        <v>0</v>
      </c>
      <c r="V31" s="17"/>
      <c r="W31" s="17"/>
      <c r="X31" s="20">
        <v>4</v>
      </c>
      <c r="Y31" s="20">
        <v>4</v>
      </c>
      <c r="Z31" s="20">
        <v>4</v>
      </c>
      <c r="AA31" s="20">
        <v>1</v>
      </c>
      <c r="AB31" s="20">
        <v>0</v>
      </c>
      <c r="AC31" s="20">
        <v>1</v>
      </c>
      <c r="AD31" s="20">
        <v>1</v>
      </c>
      <c r="AE31" s="20">
        <v>1</v>
      </c>
      <c r="AF31" s="20">
        <v>1</v>
      </c>
      <c r="AG31" s="20">
        <v>0</v>
      </c>
      <c r="AH31" s="20">
        <v>1</v>
      </c>
      <c r="AI31" s="17" t="s">
        <v>72</v>
      </c>
      <c r="AJ31" s="17"/>
      <c r="AK31" s="21"/>
    </row>
    <row r="32" spans="1:37" x14ac:dyDescent="0.25">
      <c r="A32" s="12" t="s">
        <v>118</v>
      </c>
      <c r="B32" s="12">
        <v>52</v>
      </c>
      <c r="C32" s="12">
        <v>4.0999999999999996</v>
      </c>
      <c r="D32" s="27">
        <v>43221</v>
      </c>
      <c r="E32" s="14">
        <f>[1]!Tabela1[[#This Row],[PSA]]/[1]!Tabela1[[#This Row],[MRI vol]]</f>
        <v>0.15185185185185185</v>
      </c>
      <c r="F32" s="12"/>
      <c r="G32" s="12"/>
      <c r="H32" s="12">
        <v>27</v>
      </c>
      <c r="I32" s="12">
        <v>4</v>
      </c>
      <c r="J32" s="12" t="s">
        <v>111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14</v>
      </c>
      <c r="R32" s="15">
        <v>0</v>
      </c>
      <c r="S32" s="12"/>
      <c r="T32" s="12"/>
      <c r="U32" s="15">
        <v>2</v>
      </c>
      <c r="V32" s="15">
        <v>90</v>
      </c>
      <c r="W32" s="12"/>
      <c r="X32" s="12">
        <v>2</v>
      </c>
      <c r="Y32" s="12">
        <v>2</v>
      </c>
      <c r="Z32" s="12">
        <v>2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 t="s">
        <v>53</v>
      </c>
      <c r="AJ32" s="12"/>
      <c r="AK32" s="16"/>
    </row>
    <row r="33" spans="1:37" x14ac:dyDescent="0.25">
      <c r="A33" s="17" t="s">
        <v>119</v>
      </c>
      <c r="B33" s="17">
        <v>79</v>
      </c>
      <c r="C33" s="17">
        <v>7.2</v>
      </c>
      <c r="D33" s="28">
        <v>42767</v>
      </c>
      <c r="E33" s="19">
        <f>[1]!Tabela1[[#This Row],[PSA]]/[1]!Tabela1[[#This Row],[MRI vol]]</f>
        <v>9.2307692307692313E-2</v>
      </c>
      <c r="F33" s="17"/>
      <c r="G33" s="17"/>
      <c r="H33" s="17">
        <v>78</v>
      </c>
      <c r="I33" s="17">
        <v>5</v>
      </c>
      <c r="J33" s="17" t="s">
        <v>111</v>
      </c>
      <c r="K33" s="20">
        <v>1</v>
      </c>
      <c r="L33" s="20">
        <v>1</v>
      </c>
      <c r="M33" s="20">
        <v>1</v>
      </c>
      <c r="N33" s="20">
        <v>0</v>
      </c>
      <c r="O33" s="20">
        <v>0</v>
      </c>
      <c r="P33" s="20">
        <v>0</v>
      </c>
      <c r="Q33" s="20">
        <v>34</v>
      </c>
      <c r="R33" s="20">
        <v>0</v>
      </c>
      <c r="S33" s="17"/>
      <c r="T33" s="17"/>
      <c r="U33" s="20">
        <v>5</v>
      </c>
      <c r="V33" s="17"/>
      <c r="W33" s="17"/>
      <c r="X33" s="17">
        <v>5</v>
      </c>
      <c r="Y33" s="17">
        <v>5</v>
      </c>
      <c r="Z33" s="17">
        <v>5</v>
      </c>
      <c r="AA33" s="17">
        <v>1</v>
      </c>
      <c r="AB33" s="17">
        <v>0</v>
      </c>
      <c r="AC33" s="17">
        <v>1</v>
      </c>
      <c r="AD33" s="17">
        <v>1</v>
      </c>
      <c r="AE33" s="17">
        <v>1</v>
      </c>
      <c r="AF33" s="17">
        <v>0</v>
      </c>
      <c r="AG33" s="17">
        <v>0</v>
      </c>
      <c r="AH33" s="17">
        <v>0</v>
      </c>
      <c r="AI33" s="17" t="s">
        <v>47</v>
      </c>
      <c r="AJ33" s="17"/>
      <c r="AK33" s="21"/>
    </row>
    <row r="34" spans="1:37" x14ac:dyDescent="0.25">
      <c r="A34" s="12" t="s">
        <v>120</v>
      </c>
      <c r="B34" s="12">
        <v>72</v>
      </c>
      <c r="C34" s="12">
        <v>13.8</v>
      </c>
      <c r="D34" s="27">
        <v>43191</v>
      </c>
      <c r="E34" s="14">
        <f>[1]!Tabela1[[#This Row],[PSA]]/[1]!Tabela1[[#This Row],[MRI vol]]</f>
        <v>0.28163265306122448</v>
      </c>
      <c r="F34" s="12"/>
      <c r="G34" s="12"/>
      <c r="H34" s="12">
        <v>49</v>
      </c>
      <c r="I34" s="12">
        <v>5</v>
      </c>
      <c r="J34" s="12" t="s">
        <v>121</v>
      </c>
      <c r="K34" s="15">
        <v>1</v>
      </c>
      <c r="L34" s="15">
        <v>1</v>
      </c>
      <c r="M34" s="15">
        <v>0</v>
      </c>
      <c r="N34" s="15">
        <v>0</v>
      </c>
      <c r="O34" s="15">
        <v>0</v>
      </c>
      <c r="P34" s="15">
        <v>0</v>
      </c>
      <c r="Q34" s="15">
        <v>26</v>
      </c>
      <c r="R34" s="15">
        <v>1</v>
      </c>
      <c r="S34" s="12">
        <v>6</v>
      </c>
      <c r="T34" s="12" t="s">
        <v>67</v>
      </c>
      <c r="U34" s="15">
        <v>1</v>
      </c>
      <c r="V34" s="15">
        <v>3</v>
      </c>
      <c r="W34" s="12" t="s">
        <v>105</v>
      </c>
      <c r="X34" s="12">
        <v>2</v>
      </c>
      <c r="Y34" s="12">
        <v>1</v>
      </c>
      <c r="Z34" s="12">
        <v>2</v>
      </c>
      <c r="AA34" s="12">
        <v>0</v>
      </c>
      <c r="AB34" s="12">
        <v>0</v>
      </c>
      <c r="AC34" s="12">
        <v>1</v>
      </c>
      <c r="AD34" s="12">
        <v>1</v>
      </c>
      <c r="AE34" s="12">
        <v>0</v>
      </c>
      <c r="AF34" s="12">
        <v>0</v>
      </c>
      <c r="AG34" s="12">
        <v>0</v>
      </c>
      <c r="AH34" s="12">
        <v>0</v>
      </c>
      <c r="AI34" s="12" t="s">
        <v>60</v>
      </c>
      <c r="AJ34" s="12"/>
      <c r="AK34" s="16"/>
    </row>
    <row r="35" spans="1:37" x14ac:dyDescent="0.25">
      <c r="A35" s="17" t="s">
        <v>122</v>
      </c>
      <c r="B35" s="17">
        <v>63</v>
      </c>
      <c r="C35" s="17">
        <v>8.6</v>
      </c>
      <c r="D35" s="28">
        <v>42339</v>
      </c>
      <c r="E35" s="19">
        <f>[1]!Tabela1[[#This Row],[PSA]]/[1]!Tabela1[[#This Row],[MRI vol]]</f>
        <v>0.25294117647058822</v>
      </c>
      <c r="F35" s="17"/>
      <c r="G35" s="17"/>
      <c r="H35" s="17">
        <v>34</v>
      </c>
      <c r="I35" s="17">
        <v>5</v>
      </c>
      <c r="J35" s="17" t="s">
        <v>109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9</v>
      </c>
      <c r="R35" s="20">
        <v>2</v>
      </c>
      <c r="S35" s="20">
        <v>15</v>
      </c>
      <c r="T35" s="17"/>
      <c r="U35" s="20">
        <v>0</v>
      </c>
      <c r="V35" s="20">
        <v>0</v>
      </c>
      <c r="W35" s="17"/>
      <c r="X35" s="17">
        <v>1</v>
      </c>
      <c r="Y35" s="17">
        <v>1</v>
      </c>
      <c r="Z35" s="17">
        <v>1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 t="s">
        <v>53</v>
      </c>
      <c r="AJ35" s="17"/>
      <c r="AK35" s="21"/>
    </row>
    <row r="36" spans="1:37" x14ac:dyDescent="0.25">
      <c r="A36" s="12" t="s">
        <v>123</v>
      </c>
      <c r="B36" s="12">
        <v>64</v>
      </c>
      <c r="C36" s="12">
        <v>209</v>
      </c>
      <c r="D36" s="27">
        <v>43132</v>
      </c>
      <c r="E36" s="14">
        <f>[1]!Tabela1[[#This Row],[PSA]]/[1]!Tabela1[[#This Row],[MRI vol]]</f>
        <v>3.2153846153846155</v>
      </c>
      <c r="F36" s="12"/>
      <c r="G36" s="12"/>
      <c r="H36" s="12">
        <v>65</v>
      </c>
      <c r="I36" s="12">
        <v>5</v>
      </c>
      <c r="J36" s="12" t="s">
        <v>124</v>
      </c>
      <c r="K36" s="15">
        <v>1</v>
      </c>
      <c r="L36" s="15">
        <v>1</v>
      </c>
      <c r="M36" s="15">
        <v>1</v>
      </c>
      <c r="N36" s="15">
        <v>1</v>
      </c>
      <c r="O36" s="15">
        <v>0</v>
      </c>
      <c r="P36" s="15">
        <v>1</v>
      </c>
      <c r="Q36" s="15"/>
      <c r="R36" s="15">
        <v>4</v>
      </c>
      <c r="S36" s="15">
        <v>90</v>
      </c>
      <c r="T36" s="12"/>
      <c r="U36" s="15">
        <v>4</v>
      </c>
      <c r="V36" s="15">
        <v>90</v>
      </c>
      <c r="W36" s="12"/>
      <c r="X36" s="15">
        <v>4</v>
      </c>
      <c r="Y36" s="15">
        <v>4</v>
      </c>
      <c r="Z36" s="15">
        <v>4</v>
      </c>
      <c r="AA36" s="15">
        <v>0</v>
      </c>
      <c r="AB36" s="15">
        <v>0</v>
      </c>
      <c r="AC36" s="15">
        <v>1</v>
      </c>
      <c r="AD36" s="15">
        <v>1</v>
      </c>
      <c r="AE36" s="15">
        <v>1</v>
      </c>
      <c r="AF36" s="15">
        <v>1</v>
      </c>
      <c r="AG36" s="15">
        <v>1</v>
      </c>
      <c r="AH36" s="15">
        <v>1</v>
      </c>
      <c r="AI36" s="12" t="s">
        <v>72</v>
      </c>
      <c r="AJ36" s="12"/>
      <c r="AK36" s="16"/>
    </row>
    <row r="37" spans="1:37" x14ac:dyDescent="0.25">
      <c r="A37" s="17" t="s">
        <v>125</v>
      </c>
      <c r="B37" s="17">
        <v>75</v>
      </c>
      <c r="C37" s="17">
        <v>12.15</v>
      </c>
      <c r="D37" s="28">
        <v>43101</v>
      </c>
      <c r="E37" s="19">
        <f>[1]!Tabela1[[#This Row],[PSA]]/[1]!Tabela1[[#This Row],[MRI vol]]</f>
        <v>0.22924528301886793</v>
      </c>
      <c r="F37" s="17"/>
      <c r="G37" s="17"/>
      <c r="H37" s="17">
        <v>53</v>
      </c>
      <c r="I37" s="17">
        <v>5</v>
      </c>
      <c r="J37" s="17" t="s">
        <v>126</v>
      </c>
      <c r="K37" s="20">
        <v>1</v>
      </c>
      <c r="L37" s="20">
        <v>1</v>
      </c>
      <c r="M37" s="20">
        <v>1</v>
      </c>
      <c r="N37" s="20">
        <v>1</v>
      </c>
      <c r="O37" s="20">
        <v>1</v>
      </c>
      <c r="P37" s="20">
        <v>1</v>
      </c>
      <c r="Q37" s="20"/>
      <c r="R37" s="20">
        <v>4</v>
      </c>
      <c r="S37" s="20">
        <v>80</v>
      </c>
      <c r="T37" s="17"/>
      <c r="U37" s="20">
        <v>3</v>
      </c>
      <c r="V37" s="20">
        <v>90</v>
      </c>
      <c r="W37" s="17"/>
      <c r="X37" s="17">
        <v>5</v>
      </c>
      <c r="Y37" s="17">
        <v>5</v>
      </c>
      <c r="Z37" s="17">
        <v>5</v>
      </c>
      <c r="AA37" s="17">
        <v>0</v>
      </c>
      <c r="AB37" s="17">
        <v>1</v>
      </c>
      <c r="AC37" s="17">
        <v>1</v>
      </c>
      <c r="AD37" s="17">
        <v>1</v>
      </c>
      <c r="AE37" s="17">
        <v>1</v>
      </c>
      <c r="AF37" s="17">
        <v>1</v>
      </c>
      <c r="AG37" s="17">
        <v>1</v>
      </c>
      <c r="AH37" s="17">
        <v>1</v>
      </c>
      <c r="AI37" s="17" t="s">
        <v>72</v>
      </c>
      <c r="AJ37" s="17"/>
      <c r="AK37" s="21"/>
    </row>
    <row r="38" spans="1:37" x14ac:dyDescent="0.25">
      <c r="A38" s="12" t="s">
        <v>127</v>
      </c>
      <c r="B38" s="12">
        <v>59</v>
      </c>
      <c r="C38" s="12">
        <v>9.5</v>
      </c>
      <c r="D38" s="27">
        <v>43160</v>
      </c>
      <c r="E38" s="14">
        <f>[1]!Tabela1[[#This Row],[PSA]]/[1]!Tabela1[[#This Row],[MRI vol]]</f>
        <v>0.24358974358974358</v>
      </c>
      <c r="F38" s="12"/>
      <c r="G38" s="12"/>
      <c r="H38" s="12">
        <v>39</v>
      </c>
      <c r="I38" s="12">
        <v>4</v>
      </c>
      <c r="J38" s="12" t="s">
        <v>124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2</v>
      </c>
      <c r="S38" s="15">
        <v>80</v>
      </c>
      <c r="T38" s="12"/>
      <c r="U38" s="15">
        <v>1</v>
      </c>
      <c r="V38" s="15">
        <v>30</v>
      </c>
      <c r="W38" s="12"/>
      <c r="X38" s="12">
        <v>3</v>
      </c>
      <c r="Y38" s="12">
        <v>3</v>
      </c>
      <c r="Z38" s="12">
        <v>3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 t="s">
        <v>53</v>
      </c>
      <c r="AJ38" s="12"/>
      <c r="AK38" s="16"/>
    </row>
    <row r="39" spans="1:37" x14ac:dyDescent="0.25">
      <c r="A39" s="17" t="s">
        <v>128</v>
      </c>
      <c r="B39" s="17">
        <v>66</v>
      </c>
      <c r="C39" s="17">
        <v>8</v>
      </c>
      <c r="D39" s="28">
        <v>43313</v>
      </c>
      <c r="E39" s="19">
        <f>[1]!Tabela1[[#This Row],[PSA]]/[1]!Tabela1[[#This Row],[MRI vol]]</f>
        <v>0.24242424242424243</v>
      </c>
      <c r="F39" s="17"/>
      <c r="G39" s="17"/>
      <c r="H39" s="17">
        <v>33</v>
      </c>
      <c r="I39" s="17">
        <v>5</v>
      </c>
      <c r="J39" s="17" t="s">
        <v>111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17</v>
      </c>
      <c r="R39" s="20">
        <v>0</v>
      </c>
      <c r="S39" s="20">
        <v>0</v>
      </c>
      <c r="T39" s="17"/>
      <c r="U39" s="20">
        <v>2</v>
      </c>
      <c r="V39" s="20">
        <v>40</v>
      </c>
      <c r="W39" s="17"/>
      <c r="X39" s="20">
        <v>2</v>
      </c>
      <c r="Y39" s="20">
        <v>2</v>
      </c>
      <c r="Z39" s="20">
        <v>2</v>
      </c>
      <c r="AA39" s="20">
        <v>0</v>
      </c>
      <c r="AB39" s="20">
        <v>0</v>
      </c>
      <c r="AC39" s="20">
        <v>1</v>
      </c>
      <c r="AD39" s="20">
        <v>0</v>
      </c>
      <c r="AE39" s="20">
        <v>1</v>
      </c>
      <c r="AF39" s="20">
        <v>0</v>
      </c>
      <c r="AG39" s="20">
        <v>0</v>
      </c>
      <c r="AH39" s="20">
        <v>0</v>
      </c>
      <c r="AI39" s="17" t="s">
        <v>53</v>
      </c>
      <c r="AJ39" s="17"/>
      <c r="AK39" s="21"/>
    </row>
    <row r="40" spans="1:37" x14ac:dyDescent="0.25">
      <c r="A40" s="12" t="s">
        <v>129</v>
      </c>
      <c r="B40" s="12">
        <v>61</v>
      </c>
      <c r="C40" s="12">
        <v>7</v>
      </c>
      <c r="D40" s="27">
        <v>42856</v>
      </c>
      <c r="E40" s="14">
        <f>[1]!Tabela1[[#This Row],[PSA]]/[1]!Tabela1[[#This Row],[MRI vol]]</f>
        <v>0.15909090909090909</v>
      </c>
      <c r="F40" s="12"/>
      <c r="G40" s="12"/>
      <c r="H40" s="12">
        <v>44</v>
      </c>
      <c r="I40" s="12">
        <v>5</v>
      </c>
      <c r="J40" s="12" t="s">
        <v>109</v>
      </c>
      <c r="K40" s="15">
        <v>1</v>
      </c>
      <c r="L40" s="15">
        <v>1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1</v>
      </c>
      <c r="S40" s="15">
        <v>50</v>
      </c>
      <c r="T40" s="12"/>
      <c r="U40" s="15">
        <v>0</v>
      </c>
      <c r="V40" s="12"/>
      <c r="W40" s="12"/>
      <c r="X40" s="12">
        <v>1</v>
      </c>
      <c r="Y40" s="12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 t="s">
        <v>130</v>
      </c>
      <c r="AJ40" s="12"/>
      <c r="AK40" s="16"/>
    </row>
    <row r="41" spans="1:37" x14ac:dyDescent="0.25">
      <c r="A41" s="17" t="s">
        <v>131</v>
      </c>
      <c r="B41" s="17">
        <v>62</v>
      </c>
      <c r="C41" s="17">
        <v>6</v>
      </c>
      <c r="D41" s="28">
        <v>44005</v>
      </c>
      <c r="E41" s="19">
        <f>[1]!Tabela1[[#This Row],[PSA]]/[1]!Tabela1[[#This Row],[MRI vol]]</f>
        <v>0.17142857142857143</v>
      </c>
      <c r="F41" s="17"/>
      <c r="G41" s="17"/>
      <c r="H41" s="17">
        <v>35</v>
      </c>
      <c r="I41" s="17">
        <v>3</v>
      </c>
      <c r="J41" s="17"/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10</v>
      </c>
      <c r="R41" s="20">
        <v>1</v>
      </c>
      <c r="S41" s="17"/>
      <c r="T41" s="17"/>
      <c r="U41" s="20">
        <v>0</v>
      </c>
      <c r="V41" s="17"/>
      <c r="W41" s="17"/>
      <c r="X41" s="17">
        <v>1</v>
      </c>
      <c r="Y41" s="17">
        <v>1</v>
      </c>
      <c r="Z41" s="17">
        <v>1</v>
      </c>
      <c r="AA41" s="17">
        <v>0</v>
      </c>
      <c r="AB41" s="17">
        <v>0</v>
      </c>
      <c r="AC41" s="17">
        <v>1</v>
      </c>
      <c r="AD41" s="17">
        <v>0</v>
      </c>
      <c r="AE41" s="17">
        <v>1</v>
      </c>
      <c r="AF41" s="17">
        <v>0</v>
      </c>
      <c r="AG41" s="17">
        <v>0</v>
      </c>
      <c r="AH41" s="17">
        <v>0</v>
      </c>
      <c r="AI41" s="17" t="s">
        <v>47</v>
      </c>
      <c r="AJ41" s="17"/>
      <c r="AK41" s="21"/>
    </row>
    <row r="42" spans="1:37" x14ac:dyDescent="0.25">
      <c r="A42" s="12" t="s">
        <v>132</v>
      </c>
      <c r="B42" s="12">
        <v>68</v>
      </c>
      <c r="C42" s="12">
        <v>7.8</v>
      </c>
      <c r="D42" s="27">
        <v>43990</v>
      </c>
      <c r="E42" s="14">
        <f>[1]!Tabela1[[#This Row],[PSA]]/[1]!Tabela1[[#This Row],[MRI vol]]</f>
        <v>0.27857142857142858</v>
      </c>
      <c r="F42" s="12"/>
      <c r="G42" s="12"/>
      <c r="H42" s="12">
        <v>28</v>
      </c>
      <c r="I42" s="12">
        <v>4</v>
      </c>
      <c r="J42" s="12"/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8</v>
      </c>
      <c r="R42" s="15">
        <v>1</v>
      </c>
      <c r="S42" s="12"/>
      <c r="T42" s="12"/>
      <c r="U42" s="15">
        <v>1</v>
      </c>
      <c r="V42" s="12"/>
      <c r="W42" s="12"/>
      <c r="X42" s="12">
        <v>2</v>
      </c>
      <c r="Y42" s="12">
        <v>2</v>
      </c>
      <c r="Z42" s="12">
        <v>2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 t="s">
        <v>53</v>
      </c>
      <c r="AJ42" s="12"/>
      <c r="AK42" s="16"/>
    </row>
    <row r="43" spans="1:37" x14ac:dyDescent="0.25">
      <c r="A43" s="17" t="s">
        <v>133</v>
      </c>
      <c r="B43" s="17"/>
      <c r="C43" s="17"/>
      <c r="D43" s="17"/>
      <c r="E43" s="19" t="e">
        <f>[1]!Tabela1[[#This Row],[PSA]]/[1]!Tabela1[[#This Row],[MRI vol]]</f>
        <v>#DIV/0!</v>
      </c>
      <c r="F43" s="17"/>
      <c r="G43" s="17"/>
      <c r="H43" s="17"/>
      <c r="I43" s="17"/>
      <c r="J43" s="17"/>
      <c r="K43" s="20"/>
      <c r="L43" s="20"/>
      <c r="M43" s="20"/>
      <c r="N43" s="20"/>
      <c r="O43" s="20"/>
      <c r="P43" s="20"/>
      <c r="Q43" s="20"/>
      <c r="R43" s="20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21"/>
    </row>
    <row r="44" spans="1:37" x14ac:dyDescent="0.25">
      <c r="A44" s="12" t="s">
        <v>134</v>
      </c>
      <c r="B44" s="12">
        <v>66</v>
      </c>
      <c r="C44" s="12">
        <v>6.3</v>
      </c>
      <c r="D44" s="27">
        <v>43451</v>
      </c>
      <c r="E44" s="14">
        <f>[1]!Tabela1[[#This Row],[PSA]]/[1]!Tabela1[[#This Row],[MRI vol]]</f>
        <v>0.15365853658536585</v>
      </c>
      <c r="F44" s="12"/>
      <c r="G44" s="12"/>
      <c r="H44" s="12">
        <v>41</v>
      </c>
      <c r="I44" s="12">
        <v>5</v>
      </c>
      <c r="J44" s="12"/>
      <c r="K44" s="15">
        <v>1</v>
      </c>
      <c r="L44" s="15">
        <v>0</v>
      </c>
      <c r="M44" s="15">
        <v>1</v>
      </c>
      <c r="N44" s="15">
        <v>0</v>
      </c>
      <c r="O44" s="15">
        <v>0</v>
      </c>
      <c r="P44" s="15">
        <v>0</v>
      </c>
      <c r="Q44" s="15"/>
      <c r="R44" s="15">
        <v>2</v>
      </c>
      <c r="S44" s="12"/>
      <c r="T44" s="12"/>
      <c r="U44" s="15">
        <v>1</v>
      </c>
      <c r="V44" s="12"/>
      <c r="W44" s="12"/>
      <c r="X44" s="12">
        <v>3</v>
      </c>
      <c r="Y44" s="12">
        <v>3</v>
      </c>
      <c r="Z44" s="12">
        <v>3</v>
      </c>
      <c r="AA44" s="12">
        <v>0</v>
      </c>
      <c r="AB44" s="12">
        <v>0</v>
      </c>
      <c r="AC44" s="12">
        <v>1</v>
      </c>
      <c r="AD44" s="12">
        <v>1</v>
      </c>
      <c r="AE44" s="12">
        <v>1</v>
      </c>
      <c r="AF44" s="12">
        <v>1</v>
      </c>
      <c r="AG44" s="12">
        <v>1</v>
      </c>
      <c r="AH44" s="12">
        <v>1</v>
      </c>
      <c r="AI44" s="12" t="s">
        <v>72</v>
      </c>
      <c r="AJ44" s="12"/>
      <c r="AK44" s="16"/>
    </row>
    <row r="45" spans="1:37" x14ac:dyDescent="0.25">
      <c r="A45" s="17" t="s">
        <v>135</v>
      </c>
      <c r="B45" s="17">
        <v>64</v>
      </c>
      <c r="C45" s="17">
        <v>17.5</v>
      </c>
      <c r="D45" s="28">
        <v>44069</v>
      </c>
      <c r="E45" s="19">
        <f>[1]!Tabela1[[#This Row],[PSA]]/[1]!Tabela1[[#This Row],[MRI vol]]</f>
        <v>0.58333333333333337</v>
      </c>
      <c r="F45" s="17"/>
      <c r="G45" s="17"/>
      <c r="H45" s="17">
        <v>30</v>
      </c>
      <c r="I45" s="17">
        <v>5</v>
      </c>
      <c r="J45" s="17"/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v>1</v>
      </c>
      <c r="S45" s="17"/>
      <c r="T45" s="17"/>
      <c r="U45" s="20">
        <v>1</v>
      </c>
      <c r="V45" s="17"/>
      <c r="W45" s="17"/>
      <c r="X45" s="17">
        <v>3</v>
      </c>
      <c r="Y45" s="17">
        <v>3</v>
      </c>
      <c r="Z45" s="17">
        <v>3</v>
      </c>
      <c r="AA45" s="17">
        <v>0</v>
      </c>
      <c r="AB45" s="17">
        <v>1</v>
      </c>
      <c r="AC45" s="17">
        <v>1</v>
      </c>
      <c r="AD45" s="17">
        <v>1</v>
      </c>
      <c r="AE45" s="17">
        <v>1</v>
      </c>
      <c r="AF45" s="17">
        <v>0</v>
      </c>
      <c r="AG45" s="17">
        <v>0</v>
      </c>
      <c r="AH45" s="17">
        <v>0</v>
      </c>
      <c r="AI45" s="17" t="s">
        <v>47</v>
      </c>
      <c r="AJ45" s="17"/>
      <c r="AK45" s="21"/>
    </row>
    <row r="46" spans="1:37" x14ac:dyDescent="0.25">
      <c r="A46" s="12" t="s">
        <v>136</v>
      </c>
      <c r="B46" s="12">
        <v>72</v>
      </c>
      <c r="C46" s="12">
        <v>5.9</v>
      </c>
      <c r="D46" s="27">
        <v>43300</v>
      </c>
      <c r="E46" s="14">
        <f>[1]!Tabela1[[#This Row],[PSA]]/[1]!Tabela1[[#This Row],[MRI vol]]</f>
        <v>0.2565217391304348</v>
      </c>
      <c r="F46" s="12"/>
      <c r="G46" s="12"/>
      <c r="H46" s="12">
        <v>23</v>
      </c>
      <c r="I46" s="12">
        <v>5</v>
      </c>
      <c r="J46" s="12"/>
      <c r="K46" s="15">
        <v>1</v>
      </c>
      <c r="L46" s="15">
        <v>0</v>
      </c>
      <c r="M46" s="15">
        <v>1</v>
      </c>
      <c r="N46" s="15">
        <v>1</v>
      </c>
      <c r="O46" s="15">
        <v>1</v>
      </c>
      <c r="P46" s="15">
        <v>1</v>
      </c>
      <c r="Q46" s="15">
        <v>26</v>
      </c>
      <c r="R46" s="15">
        <v>3</v>
      </c>
      <c r="S46" s="12"/>
      <c r="T46" s="12"/>
      <c r="U46" s="15">
        <v>3</v>
      </c>
      <c r="V46" s="12"/>
      <c r="W46" s="12"/>
      <c r="X46" s="12">
        <v>4</v>
      </c>
      <c r="Y46" s="12">
        <v>4</v>
      </c>
      <c r="Z46" s="12">
        <v>4</v>
      </c>
      <c r="AA46" s="12">
        <v>0</v>
      </c>
      <c r="AB46" s="12">
        <v>0</v>
      </c>
      <c r="AC46" s="12">
        <v>1</v>
      </c>
      <c r="AD46" s="12">
        <v>1</v>
      </c>
      <c r="AE46" s="12">
        <v>1</v>
      </c>
      <c r="AF46" s="12">
        <v>0</v>
      </c>
      <c r="AG46" s="12">
        <v>0</v>
      </c>
      <c r="AH46" s="12">
        <v>0</v>
      </c>
      <c r="AI46" s="12" t="s">
        <v>47</v>
      </c>
      <c r="AJ46" s="12"/>
      <c r="AK46" s="16"/>
    </row>
    <row r="47" spans="1:37" x14ac:dyDescent="0.25">
      <c r="A47" s="17" t="s">
        <v>137</v>
      </c>
      <c r="B47" s="17">
        <v>69</v>
      </c>
      <c r="C47" s="17">
        <v>42.2</v>
      </c>
      <c r="D47" s="28">
        <v>43209</v>
      </c>
      <c r="E47" s="19">
        <f>[1]!Tabela1[[#This Row],[PSA]]/[1]!Tabela1[[#This Row],[MRI vol]]</f>
        <v>1.6880000000000002</v>
      </c>
      <c r="F47" s="17"/>
      <c r="G47" s="17"/>
      <c r="H47" s="17">
        <v>25</v>
      </c>
      <c r="I47" s="17">
        <v>5</v>
      </c>
      <c r="J47" s="17"/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25</v>
      </c>
      <c r="R47" s="20">
        <v>4</v>
      </c>
      <c r="S47" s="17"/>
      <c r="T47" s="17" t="s">
        <v>67</v>
      </c>
      <c r="U47" s="20">
        <v>0</v>
      </c>
      <c r="V47" s="17"/>
      <c r="W47" s="17"/>
      <c r="X47" s="17">
        <v>2</v>
      </c>
      <c r="Y47" s="17">
        <v>2</v>
      </c>
      <c r="Z47" s="17">
        <v>2</v>
      </c>
      <c r="AA47" s="17">
        <v>1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 t="s">
        <v>47</v>
      </c>
      <c r="AJ47" s="17"/>
      <c r="AK47" s="21"/>
    </row>
    <row r="48" spans="1:37" x14ac:dyDescent="0.25">
      <c r="A48" s="12" t="s">
        <v>138</v>
      </c>
      <c r="B48" s="12">
        <v>70</v>
      </c>
      <c r="C48" s="12">
        <v>6.1</v>
      </c>
      <c r="D48" s="27">
        <v>43109</v>
      </c>
      <c r="E48" s="14">
        <f>[1]!Tabela1[[#This Row],[PSA]]/[1]!Tabela1[[#This Row],[MRI vol]]</f>
        <v>0.17941176470588235</v>
      </c>
      <c r="F48" s="12"/>
      <c r="G48" s="12"/>
      <c r="H48" s="12">
        <v>34</v>
      </c>
      <c r="I48" s="12">
        <v>5</v>
      </c>
      <c r="J48" s="12"/>
      <c r="K48" s="15">
        <v>1</v>
      </c>
      <c r="L48" s="15">
        <v>1</v>
      </c>
      <c r="M48" s="15">
        <v>0</v>
      </c>
      <c r="N48" s="15">
        <v>0</v>
      </c>
      <c r="O48" s="15">
        <v>0</v>
      </c>
      <c r="P48" s="15">
        <v>0</v>
      </c>
      <c r="Q48" s="15">
        <v>17</v>
      </c>
      <c r="R48" s="15">
        <v>1</v>
      </c>
      <c r="S48" s="12"/>
      <c r="T48" s="12" t="s">
        <v>39</v>
      </c>
      <c r="U48" s="15">
        <v>2</v>
      </c>
      <c r="V48" s="12"/>
      <c r="W48" s="12" t="s">
        <v>139</v>
      </c>
      <c r="X48" s="12">
        <v>4</v>
      </c>
      <c r="Y48" s="12">
        <v>4</v>
      </c>
      <c r="Z48" s="12">
        <v>3</v>
      </c>
      <c r="AA48" s="12">
        <v>0</v>
      </c>
      <c r="AB48" s="12">
        <v>0</v>
      </c>
      <c r="AC48" s="12">
        <v>1</v>
      </c>
      <c r="AD48" s="12">
        <v>1</v>
      </c>
      <c r="AE48" s="12">
        <v>1</v>
      </c>
      <c r="AF48" s="12">
        <v>0</v>
      </c>
      <c r="AG48" s="12">
        <v>0</v>
      </c>
      <c r="AH48" s="12">
        <v>0</v>
      </c>
      <c r="AI48" s="12" t="s">
        <v>53</v>
      </c>
      <c r="AJ48" s="12"/>
      <c r="AK48" s="16"/>
    </row>
    <row r="49" spans="1:37" x14ac:dyDescent="0.25">
      <c r="A49" s="17" t="s">
        <v>140</v>
      </c>
      <c r="B49" s="17">
        <v>61</v>
      </c>
      <c r="C49" s="17">
        <v>8</v>
      </c>
      <c r="D49" s="28">
        <v>43447</v>
      </c>
      <c r="E49" s="19">
        <f>[1]!Tabela1[[#This Row],[PSA]]/[1]!Tabela1[[#This Row],[MRI vol]]</f>
        <v>0.13559322033898305</v>
      </c>
      <c r="F49" s="17"/>
      <c r="G49" s="17"/>
      <c r="H49" s="17">
        <v>59</v>
      </c>
      <c r="I49" s="17">
        <v>5</v>
      </c>
      <c r="J49" s="17"/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10</v>
      </c>
      <c r="R49" s="20">
        <v>1</v>
      </c>
      <c r="S49" s="17"/>
      <c r="T49" s="17"/>
      <c r="U49" s="20">
        <v>2</v>
      </c>
      <c r="V49" s="17"/>
      <c r="W49" s="17"/>
      <c r="X49" s="17">
        <v>3</v>
      </c>
      <c r="Y49" s="17">
        <v>2</v>
      </c>
      <c r="Z49" s="17">
        <v>3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 t="s">
        <v>53</v>
      </c>
      <c r="AJ49" s="17"/>
      <c r="AK49" s="21"/>
    </row>
    <row r="50" spans="1:37" x14ac:dyDescent="0.25">
      <c r="A50" s="12" t="s">
        <v>141</v>
      </c>
      <c r="B50" s="12">
        <v>66</v>
      </c>
      <c r="C50" s="12">
        <v>5.7</v>
      </c>
      <c r="D50" s="27">
        <v>43665</v>
      </c>
      <c r="E50" s="14">
        <f>[1]!Tabela1[[#This Row],[PSA]]/[1]!Tabela1[[#This Row],[MRI vol]]</f>
        <v>0.21923076923076923</v>
      </c>
      <c r="F50" s="12"/>
      <c r="G50" s="12"/>
      <c r="H50" s="12">
        <v>26</v>
      </c>
      <c r="I50" s="12">
        <v>4</v>
      </c>
      <c r="J50" s="12"/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12</v>
      </c>
      <c r="R50" s="15">
        <v>3</v>
      </c>
      <c r="S50" s="12"/>
      <c r="T50" s="12" t="s">
        <v>139</v>
      </c>
      <c r="U50" s="15">
        <v>2</v>
      </c>
      <c r="V50" s="12"/>
      <c r="W50" s="12"/>
      <c r="X50" s="12">
        <v>4</v>
      </c>
      <c r="Y50" s="12">
        <v>4</v>
      </c>
      <c r="Z50" s="12">
        <v>2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 t="s">
        <v>53</v>
      </c>
      <c r="AJ50" s="12"/>
      <c r="AK50" s="16"/>
    </row>
    <row r="51" spans="1:37" x14ac:dyDescent="0.25">
      <c r="A51" s="17" t="s">
        <v>48</v>
      </c>
      <c r="B51" s="17">
        <v>68</v>
      </c>
      <c r="C51" s="17">
        <v>16.899999999999999</v>
      </c>
      <c r="D51" s="28">
        <v>43608</v>
      </c>
      <c r="E51" s="19">
        <f>[1]!Tabela1[[#This Row],[PSA]]/[1]!Tabela1[[#This Row],[MRI vol]]</f>
        <v>0.13852459016393442</v>
      </c>
      <c r="F51" s="17"/>
      <c r="G51" s="17"/>
      <c r="H51" s="17">
        <v>122</v>
      </c>
      <c r="I51" s="17">
        <v>5</v>
      </c>
      <c r="J51" s="17"/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60</v>
      </c>
      <c r="R51" s="20">
        <v>1</v>
      </c>
      <c r="S51" s="17"/>
      <c r="T51" s="17"/>
      <c r="U51" s="20">
        <v>1</v>
      </c>
      <c r="V51" s="17"/>
      <c r="W51" s="17"/>
      <c r="X51" s="17">
        <v>1</v>
      </c>
      <c r="Y51" s="17">
        <v>1</v>
      </c>
      <c r="Z51" s="17">
        <v>1</v>
      </c>
      <c r="AA51" s="17">
        <v>1</v>
      </c>
      <c r="AB51" s="17">
        <v>0</v>
      </c>
      <c r="AC51" s="17">
        <v>0</v>
      </c>
      <c r="AD51" s="17">
        <v>0</v>
      </c>
      <c r="AE51" s="17">
        <v>0</v>
      </c>
      <c r="AF51" s="17">
        <v>1</v>
      </c>
      <c r="AG51" s="17">
        <v>0</v>
      </c>
      <c r="AH51" s="17">
        <v>1</v>
      </c>
      <c r="AI51" s="17" t="s">
        <v>72</v>
      </c>
      <c r="AJ51" s="17"/>
      <c r="AK51" s="21"/>
    </row>
    <row r="52" spans="1:37" x14ac:dyDescent="0.25">
      <c r="A52" s="12" t="s">
        <v>142</v>
      </c>
      <c r="B52" s="12">
        <v>65</v>
      </c>
      <c r="C52" s="12">
        <v>7.5</v>
      </c>
      <c r="D52" s="27">
        <v>42886</v>
      </c>
      <c r="E52" s="14">
        <f>[1]!Tabela1[[#This Row],[PSA]]/[1]!Tabela1[[#This Row],[MRI vol]]</f>
        <v>0.21428571428571427</v>
      </c>
      <c r="F52" s="12"/>
      <c r="G52" s="12"/>
      <c r="H52" s="12">
        <v>35</v>
      </c>
      <c r="I52" s="12">
        <v>4</v>
      </c>
      <c r="J52" s="12"/>
      <c r="K52" s="15">
        <v>1</v>
      </c>
      <c r="L52" s="15">
        <v>0</v>
      </c>
      <c r="M52" s="15">
        <v>1</v>
      </c>
      <c r="N52" s="15">
        <v>0</v>
      </c>
      <c r="O52" s="15">
        <v>0</v>
      </c>
      <c r="P52" s="15">
        <v>0</v>
      </c>
      <c r="Q52" s="15">
        <v>34</v>
      </c>
      <c r="R52" s="15">
        <v>1</v>
      </c>
      <c r="S52" s="15">
        <v>27</v>
      </c>
      <c r="T52" s="12" t="s">
        <v>67</v>
      </c>
      <c r="U52" s="15">
        <v>2</v>
      </c>
      <c r="V52" s="12">
        <v>90</v>
      </c>
      <c r="W52" s="12" t="s">
        <v>143</v>
      </c>
      <c r="X52" s="12">
        <v>2</v>
      </c>
      <c r="Y52" s="12">
        <v>2</v>
      </c>
      <c r="Z52" s="12">
        <v>1</v>
      </c>
      <c r="AA52" s="12">
        <v>0</v>
      </c>
      <c r="AB52" s="12">
        <v>1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 t="s">
        <v>53</v>
      </c>
      <c r="AJ52" s="12"/>
      <c r="AK52" s="16"/>
    </row>
    <row r="53" spans="1:37" x14ac:dyDescent="0.25">
      <c r="A53" s="17" t="s">
        <v>144</v>
      </c>
      <c r="B53" s="17">
        <v>60</v>
      </c>
      <c r="C53" s="17">
        <v>7</v>
      </c>
      <c r="D53" s="28">
        <v>42942</v>
      </c>
      <c r="E53" s="19">
        <f>[1]!Tabela1[[#This Row],[PSA]]/[1]!Tabela1[[#This Row],[MRI vol]]</f>
        <v>0.23333333333333334</v>
      </c>
      <c r="F53" s="17"/>
      <c r="G53" s="17"/>
      <c r="H53" s="17">
        <v>30</v>
      </c>
      <c r="I53" s="17">
        <v>5</v>
      </c>
      <c r="J53" s="17"/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14</v>
      </c>
      <c r="R53" s="20">
        <v>0</v>
      </c>
      <c r="S53" s="17"/>
      <c r="T53" s="17"/>
      <c r="U53" s="20">
        <v>4</v>
      </c>
      <c r="V53" s="17"/>
      <c r="W53" s="17"/>
      <c r="X53" s="17">
        <v>4</v>
      </c>
      <c r="Y53" s="17">
        <v>4</v>
      </c>
      <c r="Z53" s="17">
        <v>4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 t="s">
        <v>53</v>
      </c>
      <c r="AJ53" s="17"/>
      <c r="AK53" s="21"/>
    </row>
    <row r="54" spans="1:37" x14ac:dyDescent="0.25">
      <c r="A54" s="12" t="s">
        <v>145</v>
      </c>
      <c r="B54" s="12">
        <v>65</v>
      </c>
      <c r="C54" s="12">
        <v>4.0999999999999996</v>
      </c>
      <c r="D54" s="27">
        <v>44167</v>
      </c>
      <c r="E54" s="14">
        <f>[1]!Tabela1[[#This Row],[PSA]]/[1]!Tabela1[[#This Row],[MRI vol]]</f>
        <v>0.10512820512820512</v>
      </c>
      <c r="F54" s="12"/>
      <c r="G54" s="12"/>
      <c r="H54" s="12">
        <v>39</v>
      </c>
      <c r="I54" s="12">
        <v>5</v>
      </c>
      <c r="J54" s="12"/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14</v>
      </c>
      <c r="R54" s="15">
        <v>0</v>
      </c>
      <c r="S54" s="12"/>
      <c r="T54" s="12"/>
      <c r="U54" s="15">
        <v>4</v>
      </c>
      <c r="V54" s="12"/>
      <c r="W54" s="12"/>
      <c r="X54" s="12">
        <v>4</v>
      </c>
      <c r="Y54" s="12">
        <v>4</v>
      </c>
      <c r="Z54" s="12">
        <v>4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 t="s">
        <v>53</v>
      </c>
      <c r="AJ54" s="12"/>
      <c r="AK54" s="16"/>
    </row>
    <row r="55" spans="1:37" x14ac:dyDescent="0.25">
      <c r="A55" s="17" t="s">
        <v>146</v>
      </c>
      <c r="B55" s="17">
        <v>58</v>
      </c>
      <c r="C55" s="17">
        <v>7.2</v>
      </c>
      <c r="D55" s="28">
        <v>43237</v>
      </c>
      <c r="E55" s="19">
        <f>[1]!Tabela1[[#This Row],[PSA]]/[1]!Tabela1[[#This Row],[MRI vol]]</f>
        <v>0.28800000000000003</v>
      </c>
      <c r="F55" s="17"/>
      <c r="G55" s="17"/>
      <c r="H55" s="17">
        <v>25</v>
      </c>
      <c r="I55" s="17">
        <v>4</v>
      </c>
      <c r="J55" s="17"/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8</v>
      </c>
      <c r="R55" s="20">
        <v>1</v>
      </c>
      <c r="S55" s="17"/>
      <c r="T55" s="17"/>
      <c r="U55" s="20">
        <v>1</v>
      </c>
      <c r="V55" s="17"/>
      <c r="W55" s="17"/>
      <c r="X55" s="17">
        <v>2</v>
      </c>
      <c r="Y55" s="17">
        <v>2</v>
      </c>
      <c r="Z55" s="17">
        <v>2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 t="s">
        <v>53</v>
      </c>
      <c r="AJ55" s="17"/>
      <c r="AK55" s="21"/>
    </row>
    <row r="56" spans="1:37" x14ac:dyDescent="0.25">
      <c r="A56" s="12" t="s">
        <v>147</v>
      </c>
      <c r="B56" s="12">
        <v>67</v>
      </c>
      <c r="C56" s="12">
        <v>5.9</v>
      </c>
      <c r="D56" s="27">
        <v>42696</v>
      </c>
      <c r="E56" s="14">
        <f>[1]!Tabela1[[#This Row],[PSA]]/[1]!Tabela1[[#This Row],[MRI vol]]</f>
        <v>0.10727272727272728</v>
      </c>
      <c r="F56" s="12"/>
      <c r="G56" s="12"/>
      <c r="H56" s="12">
        <v>55</v>
      </c>
      <c r="I56" s="12">
        <v>3</v>
      </c>
      <c r="J56" s="12"/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8</v>
      </c>
      <c r="R56" s="15">
        <v>1</v>
      </c>
      <c r="S56" s="12"/>
      <c r="T56" s="12" t="s">
        <v>139</v>
      </c>
      <c r="U56" s="15">
        <v>1</v>
      </c>
      <c r="V56" s="12"/>
      <c r="W56" s="12" t="s">
        <v>105</v>
      </c>
      <c r="X56" s="12">
        <v>1</v>
      </c>
      <c r="Y56" s="12">
        <v>1</v>
      </c>
      <c r="Z56" s="12">
        <v>1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 t="s">
        <v>53</v>
      </c>
      <c r="AJ56" s="12"/>
      <c r="AK56" s="16"/>
    </row>
    <row r="57" spans="1:37" x14ac:dyDescent="0.25">
      <c r="A57" s="17" t="s">
        <v>148</v>
      </c>
      <c r="B57" s="17">
        <v>68</v>
      </c>
      <c r="C57" s="17">
        <v>5.6</v>
      </c>
      <c r="D57" s="28">
        <v>42690</v>
      </c>
      <c r="E57" s="19">
        <f>[1]!Tabela1[[#This Row],[PSA]]/[1]!Tabela1[[#This Row],[MRI vol]]</f>
        <v>0.25454545454545452</v>
      </c>
      <c r="F57" s="17"/>
      <c r="G57" s="17"/>
      <c r="H57" s="17">
        <v>22</v>
      </c>
      <c r="I57" s="17">
        <v>5</v>
      </c>
      <c r="J57" s="17"/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11</v>
      </c>
      <c r="R57" s="20">
        <v>2</v>
      </c>
      <c r="S57" s="20">
        <v>70</v>
      </c>
      <c r="T57" s="17" t="s">
        <v>68</v>
      </c>
      <c r="U57" s="20">
        <v>1</v>
      </c>
      <c r="V57" s="17">
        <v>30</v>
      </c>
      <c r="W57" s="17" t="s">
        <v>80</v>
      </c>
      <c r="X57" s="17">
        <v>2</v>
      </c>
      <c r="Y57" s="17">
        <v>2</v>
      </c>
      <c r="Z57" s="17">
        <v>2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 t="s">
        <v>53</v>
      </c>
      <c r="AJ57" s="17"/>
      <c r="AK57" s="21"/>
    </row>
    <row r="58" spans="1:37" x14ac:dyDescent="0.25">
      <c r="A58" s="12" t="s">
        <v>149</v>
      </c>
      <c r="B58" s="12">
        <v>65</v>
      </c>
      <c r="C58" s="12">
        <v>12</v>
      </c>
      <c r="D58" s="27">
        <v>42836</v>
      </c>
      <c r="E58" s="14">
        <f>[1]!Tabela1[[#This Row],[PSA]]/[1]!Tabela1[[#This Row],[MRI vol]]</f>
        <v>0.11650485436893204</v>
      </c>
      <c r="F58" s="12"/>
      <c r="G58" s="12"/>
      <c r="H58" s="12">
        <v>103</v>
      </c>
      <c r="I58" s="12">
        <v>3</v>
      </c>
      <c r="J58" s="12"/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9</v>
      </c>
      <c r="R58" s="15">
        <v>3</v>
      </c>
      <c r="S58" s="12"/>
      <c r="T58" s="12"/>
      <c r="U58" s="15">
        <v>3</v>
      </c>
      <c r="V58" s="12"/>
      <c r="W58" s="12"/>
      <c r="X58" s="12">
        <v>3</v>
      </c>
      <c r="Y58" s="12">
        <v>3</v>
      </c>
      <c r="Z58" s="12">
        <v>3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 t="s">
        <v>53</v>
      </c>
      <c r="AJ58" s="12"/>
      <c r="AK58" s="16"/>
    </row>
    <row r="59" spans="1:37" x14ac:dyDescent="0.25">
      <c r="A59" s="17" t="s">
        <v>150</v>
      </c>
      <c r="B59" s="17">
        <v>65</v>
      </c>
      <c r="C59" s="17">
        <v>8</v>
      </c>
      <c r="D59" s="28">
        <v>42971</v>
      </c>
      <c r="E59" s="19">
        <f>[1]!Tabela1[[#This Row],[PSA]]/[1]!Tabela1[[#This Row],[MRI vol]]</f>
        <v>0.22222222222222221</v>
      </c>
      <c r="F59" s="17"/>
      <c r="G59" s="17"/>
      <c r="H59" s="17">
        <v>36</v>
      </c>
      <c r="I59" s="17">
        <v>4</v>
      </c>
      <c r="J59" s="17"/>
      <c r="K59" s="20">
        <v>1</v>
      </c>
      <c r="L59" s="20">
        <v>0</v>
      </c>
      <c r="M59" s="20">
        <v>1</v>
      </c>
      <c r="N59" s="20">
        <v>1</v>
      </c>
      <c r="O59" s="20">
        <v>0</v>
      </c>
      <c r="P59" s="20">
        <v>1</v>
      </c>
      <c r="Q59" s="20">
        <v>26</v>
      </c>
      <c r="R59" s="30" t="s">
        <v>151</v>
      </c>
      <c r="S59" s="17"/>
      <c r="T59" s="17"/>
      <c r="U59" s="20">
        <v>1</v>
      </c>
      <c r="V59" s="17"/>
      <c r="W59" s="17"/>
      <c r="X59" s="17">
        <v>1</v>
      </c>
      <c r="Y59" s="17">
        <v>1</v>
      </c>
      <c r="Z59" s="17">
        <v>1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 t="s">
        <v>53</v>
      </c>
      <c r="AJ59" s="17"/>
      <c r="AK59" s="21"/>
    </row>
    <row r="60" spans="1:37" x14ac:dyDescent="0.25">
      <c r="A60" s="12" t="s">
        <v>152</v>
      </c>
      <c r="B60" s="12">
        <v>55</v>
      </c>
      <c r="C60" s="12">
        <v>5</v>
      </c>
      <c r="D60" s="27">
        <v>42558</v>
      </c>
      <c r="E60" s="14">
        <f>[1]!Tabela1[[#This Row],[PSA]]/[1]!Tabela1[[#This Row],[MRI vol]]</f>
        <v>8.1967213114754092E-2</v>
      </c>
      <c r="F60" s="12"/>
      <c r="G60" s="12"/>
      <c r="H60" s="12">
        <v>61</v>
      </c>
      <c r="I60" s="12">
        <v>5</v>
      </c>
      <c r="J60" s="12"/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16</v>
      </c>
      <c r="R60" s="15">
        <v>2</v>
      </c>
      <c r="S60" s="12"/>
      <c r="T60" s="12"/>
      <c r="U60" s="15">
        <v>2</v>
      </c>
      <c r="V60" s="12"/>
      <c r="W60" s="12"/>
      <c r="X60" s="12">
        <v>2</v>
      </c>
      <c r="Y60" s="12">
        <v>2</v>
      </c>
      <c r="Z60" s="12">
        <v>2</v>
      </c>
      <c r="AA60" s="12">
        <v>0</v>
      </c>
      <c r="AB60" s="12">
        <v>0</v>
      </c>
      <c r="AC60" s="12">
        <v>1</v>
      </c>
      <c r="AD60" s="12">
        <v>0</v>
      </c>
      <c r="AE60" s="12">
        <v>1</v>
      </c>
      <c r="AF60" s="12">
        <v>0</v>
      </c>
      <c r="AG60" s="12">
        <v>0</v>
      </c>
      <c r="AH60" s="12">
        <v>0</v>
      </c>
      <c r="AI60" s="12" t="s">
        <v>47</v>
      </c>
      <c r="AJ60" s="12"/>
      <c r="AK60" s="16"/>
    </row>
    <row r="61" spans="1:37" x14ac:dyDescent="0.25">
      <c r="A61" s="17" t="s">
        <v>153</v>
      </c>
      <c r="B61" s="17">
        <v>70</v>
      </c>
      <c r="C61" s="17">
        <v>5.0999999999999996</v>
      </c>
      <c r="D61" s="28">
        <v>43147</v>
      </c>
      <c r="E61" s="19">
        <f>[1]!Tabela1[[#This Row],[PSA]]/[1]!Tabela1[[#This Row],[MRI vol]]</f>
        <v>0.10625</v>
      </c>
      <c r="F61" s="17"/>
      <c r="G61" s="17"/>
      <c r="H61" s="17">
        <v>48</v>
      </c>
      <c r="I61" s="17">
        <v>4</v>
      </c>
      <c r="J61" s="17"/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10</v>
      </c>
      <c r="R61" s="20">
        <v>1</v>
      </c>
      <c r="S61" s="17"/>
      <c r="T61" s="17"/>
      <c r="U61" s="20">
        <v>2</v>
      </c>
      <c r="V61" s="17"/>
      <c r="W61" s="17"/>
      <c r="X61" s="17">
        <v>2</v>
      </c>
      <c r="Y61" s="17">
        <v>2</v>
      </c>
      <c r="Z61" s="17">
        <v>2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 t="s">
        <v>53</v>
      </c>
      <c r="AJ61" s="17"/>
      <c r="AK61" s="21"/>
    </row>
    <row r="62" spans="1:37" x14ac:dyDescent="0.25">
      <c r="A62" s="12" t="s">
        <v>154</v>
      </c>
      <c r="B62" s="12">
        <v>57</v>
      </c>
      <c r="C62" s="12">
        <v>5</v>
      </c>
      <c r="D62" s="27">
        <v>43245</v>
      </c>
      <c r="E62" s="14">
        <f>[1]!Tabela1[[#This Row],[PSA]]/[1]!Tabela1[[#This Row],[MRI vol]]</f>
        <v>0.20833333333333334</v>
      </c>
      <c r="F62" s="12"/>
      <c r="G62" s="12"/>
      <c r="H62" s="12">
        <v>24</v>
      </c>
      <c r="I62" s="12">
        <v>4</v>
      </c>
      <c r="J62" s="12"/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9</v>
      </c>
      <c r="R62" s="15">
        <v>2</v>
      </c>
      <c r="S62" s="12"/>
      <c r="T62" s="12"/>
      <c r="U62" s="15">
        <v>2</v>
      </c>
      <c r="V62" s="12"/>
      <c r="W62" s="12"/>
      <c r="X62" s="12">
        <v>3</v>
      </c>
      <c r="Y62" s="12">
        <v>3</v>
      </c>
      <c r="Z62" s="12">
        <v>3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 t="s">
        <v>53</v>
      </c>
      <c r="AJ62" s="12"/>
      <c r="AK62" s="16"/>
    </row>
    <row r="63" spans="1:37" x14ac:dyDescent="0.25">
      <c r="A63" s="17" t="s">
        <v>155</v>
      </c>
      <c r="B63" s="17">
        <v>71</v>
      </c>
      <c r="C63" s="17">
        <v>20</v>
      </c>
      <c r="D63" s="28">
        <v>42654</v>
      </c>
      <c r="E63" s="19">
        <f>[1]!Tabela1[[#This Row],[PSA]]/[1]!Tabela1[[#This Row],[MRI vol]]</f>
        <v>0.4</v>
      </c>
      <c r="F63" s="17"/>
      <c r="G63" s="17"/>
      <c r="H63" s="17">
        <v>50</v>
      </c>
      <c r="I63" s="17">
        <v>5</v>
      </c>
      <c r="J63" s="17"/>
      <c r="K63" s="20">
        <v>1</v>
      </c>
      <c r="L63" s="20">
        <v>0</v>
      </c>
      <c r="M63" s="20">
        <v>1</v>
      </c>
      <c r="N63" s="20">
        <v>1</v>
      </c>
      <c r="O63" s="20">
        <v>0</v>
      </c>
      <c r="P63" s="20">
        <v>1</v>
      </c>
      <c r="Q63" s="20">
        <v>33</v>
      </c>
      <c r="R63" s="20">
        <v>2</v>
      </c>
      <c r="S63" s="17"/>
      <c r="T63" s="17"/>
      <c r="U63" s="20">
        <v>2</v>
      </c>
      <c r="V63" s="17"/>
      <c r="W63" s="17"/>
      <c r="X63" s="17">
        <v>4</v>
      </c>
      <c r="Y63" s="17">
        <v>4</v>
      </c>
      <c r="Z63" s="17">
        <v>4</v>
      </c>
      <c r="AA63" s="17">
        <v>0</v>
      </c>
      <c r="AB63" s="17">
        <v>1</v>
      </c>
      <c r="AC63" s="17">
        <v>1</v>
      </c>
      <c r="AD63" s="17">
        <v>1</v>
      </c>
      <c r="AE63" s="17">
        <v>1</v>
      </c>
      <c r="AF63" s="17">
        <v>1</v>
      </c>
      <c r="AG63" s="17">
        <v>1</v>
      </c>
      <c r="AH63" s="17">
        <v>0</v>
      </c>
      <c r="AI63" s="17" t="s">
        <v>72</v>
      </c>
      <c r="AJ63" s="17"/>
      <c r="AK63" s="21"/>
    </row>
    <row r="64" spans="1:37" x14ac:dyDescent="0.25">
      <c r="A64" s="12" t="s">
        <v>156</v>
      </c>
      <c r="B64" s="12">
        <v>63</v>
      </c>
      <c r="C64" s="12">
        <v>5.2</v>
      </c>
      <c r="D64" s="27">
        <v>42556</v>
      </c>
      <c r="E64" s="14">
        <f>[1]!Tabela1[[#This Row],[PSA]]/[1]!Tabela1[[#This Row],[MRI vol]]</f>
        <v>5.8426966292134834E-2</v>
      </c>
      <c r="F64" s="12"/>
      <c r="G64" s="12"/>
      <c r="H64" s="12">
        <v>89</v>
      </c>
      <c r="I64" s="12">
        <v>3</v>
      </c>
      <c r="J64" s="12"/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6</v>
      </c>
      <c r="R64" s="15">
        <v>2</v>
      </c>
      <c r="S64" s="12"/>
      <c r="T64" s="12"/>
      <c r="U64" s="15">
        <v>0</v>
      </c>
      <c r="V64" s="12"/>
      <c r="W64" s="12"/>
      <c r="X64" s="12">
        <v>2</v>
      </c>
      <c r="Y64" s="12">
        <v>2</v>
      </c>
      <c r="Z64" s="12">
        <v>2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 t="s">
        <v>53</v>
      </c>
      <c r="AJ64" s="12"/>
      <c r="AK64" s="16"/>
    </row>
    <row r="65" spans="1:37" x14ac:dyDescent="0.25">
      <c r="A65" s="17" t="s">
        <v>157</v>
      </c>
      <c r="B65" s="17">
        <v>73</v>
      </c>
      <c r="C65" s="17">
        <v>51</v>
      </c>
      <c r="D65" s="28">
        <v>43082</v>
      </c>
      <c r="E65" s="19">
        <f>[1]!Tabela1[[#This Row],[PSA]]/[1]!Tabela1[[#This Row],[MRI vol]]</f>
        <v>1.7</v>
      </c>
      <c r="F65" s="17"/>
      <c r="G65" s="17"/>
      <c r="H65" s="17">
        <v>30</v>
      </c>
      <c r="I65" s="17">
        <v>2</v>
      </c>
      <c r="J65" s="17"/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v>1</v>
      </c>
      <c r="S65" s="17"/>
      <c r="T65" s="17"/>
      <c r="U65" s="20">
        <v>1</v>
      </c>
      <c r="V65" s="17"/>
      <c r="W65" s="17"/>
      <c r="X65" s="17">
        <v>1</v>
      </c>
      <c r="Y65" s="17">
        <v>1</v>
      </c>
      <c r="Z65" s="17">
        <v>1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 t="s">
        <v>53</v>
      </c>
      <c r="AJ65" s="17"/>
      <c r="AK65" s="21"/>
    </row>
    <row r="66" spans="1:37" x14ac:dyDescent="0.25">
      <c r="A66" s="12" t="s">
        <v>158</v>
      </c>
      <c r="B66" s="12">
        <v>56</v>
      </c>
      <c r="C66" s="12">
        <v>9.5</v>
      </c>
      <c r="D66" s="27">
        <v>43194</v>
      </c>
      <c r="E66" s="14">
        <f>[1]!Tabela1[[#This Row],[PSA]]/[1]!Tabela1[[#This Row],[MRI vol]]</f>
        <v>0.296875</v>
      </c>
      <c r="F66" s="12"/>
      <c r="G66" s="12"/>
      <c r="H66" s="12">
        <v>32</v>
      </c>
      <c r="I66" s="12">
        <v>5</v>
      </c>
      <c r="J66" s="12"/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31</v>
      </c>
      <c r="R66" s="15">
        <v>1</v>
      </c>
      <c r="S66" s="12"/>
      <c r="T66" s="12"/>
      <c r="U66" s="15">
        <v>0</v>
      </c>
      <c r="V66" s="12"/>
      <c r="W66" s="12"/>
      <c r="X66" s="12">
        <v>2</v>
      </c>
      <c r="Y66" s="12">
        <v>2</v>
      </c>
      <c r="Z66" s="12">
        <v>2</v>
      </c>
      <c r="AA66" s="12">
        <v>1</v>
      </c>
      <c r="AB66" s="12">
        <v>0</v>
      </c>
      <c r="AC66" s="12">
        <v>1</v>
      </c>
      <c r="AD66" s="12">
        <v>0</v>
      </c>
      <c r="AE66" s="12">
        <v>1</v>
      </c>
      <c r="AF66" s="12">
        <v>1</v>
      </c>
      <c r="AG66" s="12">
        <v>0</v>
      </c>
      <c r="AH66" s="12">
        <v>1</v>
      </c>
      <c r="AI66" s="12" t="s">
        <v>72</v>
      </c>
      <c r="AJ66" s="12"/>
      <c r="AK66" s="16"/>
    </row>
    <row r="67" spans="1:37" x14ac:dyDescent="0.25">
      <c r="A67" s="17" t="s">
        <v>159</v>
      </c>
      <c r="B67" s="17">
        <v>56</v>
      </c>
      <c r="C67" s="17">
        <v>6.2</v>
      </c>
      <c r="D67" s="28">
        <v>42831</v>
      </c>
      <c r="E67" s="19">
        <f>[1]!Tabela1[[#This Row],[PSA]]/[1]!Tabela1[[#This Row],[MRI vol]]</f>
        <v>0.23846153846153847</v>
      </c>
      <c r="F67" s="17"/>
      <c r="G67" s="17"/>
      <c r="H67" s="17">
        <v>26</v>
      </c>
      <c r="I67" s="17">
        <v>4</v>
      </c>
      <c r="J67" s="17"/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10</v>
      </c>
      <c r="R67" s="20">
        <v>1</v>
      </c>
      <c r="S67" s="20">
        <v>15</v>
      </c>
      <c r="T67" s="17"/>
      <c r="U67" s="20">
        <v>1</v>
      </c>
      <c r="V67" s="20">
        <v>10</v>
      </c>
      <c r="W67" s="17"/>
      <c r="X67" s="20">
        <v>2</v>
      </c>
      <c r="Y67" s="20">
        <v>2</v>
      </c>
      <c r="Z67" s="20">
        <v>2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17" t="s">
        <v>53</v>
      </c>
      <c r="AJ67" s="17"/>
      <c r="AK67" s="21"/>
    </row>
    <row r="68" spans="1:37" x14ac:dyDescent="0.25">
      <c r="A68" s="12" t="s">
        <v>160</v>
      </c>
      <c r="B68" s="12">
        <v>58</v>
      </c>
      <c r="C68" s="12">
        <v>11</v>
      </c>
      <c r="D68" s="27">
        <v>42852</v>
      </c>
      <c r="E68" s="14">
        <f>[1]!Tabela1[[#This Row],[PSA]]/[1]!Tabela1[[#This Row],[MRI vol]]</f>
        <v>0.40740740740740738</v>
      </c>
      <c r="F68" s="12"/>
      <c r="G68" s="12"/>
      <c r="H68" s="12">
        <v>27</v>
      </c>
      <c r="I68" s="12">
        <v>4</v>
      </c>
      <c r="J68" s="12"/>
      <c r="K68" s="15">
        <v>1</v>
      </c>
      <c r="L68" s="15">
        <v>1</v>
      </c>
      <c r="M68" s="15">
        <v>0</v>
      </c>
      <c r="N68" s="15">
        <v>1</v>
      </c>
      <c r="O68" s="15">
        <v>1</v>
      </c>
      <c r="P68" s="15">
        <v>0</v>
      </c>
      <c r="Q68" s="15">
        <v>14</v>
      </c>
      <c r="R68" s="15">
        <v>1</v>
      </c>
      <c r="S68" s="12"/>
      <c r="T68" s="12"/>
      <c r="U68" s="15">
        <v>0</v>
      </c>
      <c r="V68" s="12"/>
      <c r="W68" s="12"/>
      <c r="X68" s="12">
        <v>3</v>
      </c>
      <c r="Y68" s="12">
        <v>3</v>
      </c>
      <c r="Z68" s="12">
        <v>3</v>
      </c>
      <c r="AA68" s="12">
        <v>0</v>
      </c>
      <c r="AB68" s="12">
        <v>0</v>
      </c>
      <c r="AC68" s="12">
        <v>1</v>
      </c>
      <c r="AD68" s="12">
        <v>0</v>
      </c>
      <c r="AE68" s="12">
        <v>1</v>
      </c>
      <c r="AF68" s="12">
        <v>0</v>
      </c>
      <c r="AG68" s="12">
        <v>0</v>
      </c>
      <c r="AH68" s="12">
        <v>0</v>
      </c>
      <c r="AI68" s="12" t="s">
        <v>47</v>
      </c>
      <c r="AJ68" s="12"/>
      <c r="AK68" s="16"/>
    </row>
    <row r="69" spans="1:37" x14ac:dyDescent="0.25">
      <c r="A69" s="17" t="s">
        <v>161</v>
      </c>
      <c r="B69" s="17">
        <v>62</v>
      </c>
      <c r="C69" s="17">
        <v>5.8</v>
      </c>
      <c r="D69" s="28">
        <v>42328</v>
      </c>
      <c r="E69" s="19">
        <f>[1]!Tabela1[[#This Row],[PSA]]/[1]!Tabela1[[#This Row],[MRI vol]]</f>
        <v>0.12888888888888889</v>
      </c>
      <c r="F69" s="17"/>
      <c r="G69" s="17"/>
      <c r="H69" s="17">
        <v>45</v>
      </c>
      <c r="I69" s="17">
        <v>4</v>
      </c>
      <c r="J69" s="17"/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11</v>
      </c>
      <c r="R69" s="20">
        <v>0</v>
      </c>
      <c r="S69" s="17"/>
      <c r="T69" s="17"/>
      <c r="U69" s="20">
        <v>1</v>
      </c>
      <c r="V69" s="17"/>
      <c r="W69" s="17"/>
      <c r="X69" s="17">
        <v>3</v>
      </c>
      <c r="Y69" s="17">
        <v>3</v>
      </c>
      <c r="Z69" s="17">
        <v>3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 t="s">
        <v>53</v>
      </c>
      <c r="AJ69" s="17"/>
      <c r="AK69" s="21"/>
    </row>
    <row r="70" spans="1:37" x14ac:dyDescent="0.25">
      <c r="A70" s="12" t="s">
        <v>162</v>
      </c>
      <c r="B70" s="12">
        <v>55</v>
      </c>
      <c r="C70" s="12">
        <v>15.2</v>
      </c>
      <c r="D70" s="27">
        <v>44007</v>
      </c>
      <c r="E70" s="14">
        <f>[1]!Tabela1[[#This Row],[PSA]]/[1]!Tabela1[[#This Row],[MRI vol]]</f>
        <v>0.5241379310344827</v>
      </c>
      <c r="F70" s="12"/>
      <c r="G70" s="12"/>
      <c r="H70" s="12">
        <v>29</v>
      </c>
      <c r="I70" s="12">
        <v>4</v>
      </c>
      <c r="J70" s="12"/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9</v>
      </c>
      <c r="R70" s="15">
        <v>0</v>
      </c>
      <c r="S70" s="12"/>
      <c r="T70" s="12"/>
      <c r="U70" s="15">
        <v>2</v>
      </c>
      <c r="V70" s="12"/>
      <c r="W70" s="12"/>
      <c r="X70" s="12">
        <v>2</v>
      </c>
      <c r="Y70" s="12">
        <v>2</v>
      </c>
      <c r="Z70" s="12">
        <v>2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 t="s">
        <v>53</v>
      </c>
      <c r="AJ70" s="12"/>
      <c r="AK70" s="16"/>
    </row>
    <row r="71" spans="1:37" x14ac:dyDescent="0.25">
      <c r="A71" s="17" t="s">
        <v>163</v>
      </c>
      <c r="B71" s="17">
        <v>72</v>
      </c>
      <c r="C71" s="17"/>
      <c r="D71" s="28">
        <v>42754</v>
      </c>
      <c r="E71" s="19">
        <f>[1]!Tabela1[[#This Row],[PSA]]/[1]!Tabela1[[#This Row],[MRI vol]]</f>
        <v>0</v>
      </c>
      <c r="F71" s="17"/>
      <c r="G71" s="17"/>
      <c r="H71" s="17">
        <v>101</v>
      </c>
      <c r="I71" s="17">
        <v>3</v>
      </c>
      <c r="J71" s="17"/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12</v>
      </c>
      <c r="R71" s="20">
        <v>2</v>
      </c>
      <c r="S71" s="17"/>
      <c r="T71" s="17"/>
      <c r="U71" s="20">
        <v>0</v>
      </c>
      <c r="V71" s="17"/>
      <c r="W71" s="17"/>
      <c r="X71" s="17">
        <v>2</v>
      </c>
      <c r="Y71" s="17">
        <v>2</v>
      </c>
      <c r="Z71" s="17">
        <v>2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 t="s">
        <v>53</v>
      </c>
      <c r="AJ71" s="17"/>
      <c r="AK71" s="21"/>
    </row>
    <row r="72" spans="1:37" x14ac:dyDescent="0.25">
      <c r="A72" s="12" t="s">
        <v>164</v>
      </c>
      <c r="B72" s="12">
        <v>58</v>
      </c>
      <c r="C72" s="12">
        <v>13.5</v>
      </c>
      <c r="D72" s="27">
        <v>43311</v>
      </c>
      <c r="E72" s="14">
        <f>[1]!Tabela1[[#This Row],[PSA]]/[1]!Tabela1[[#This Row],[MRI vol]]</f>
        <v>0.5</v>
      </c>
      <c r="F72" s="12"/>
      <c r="G72" s="12"/>
      <c r="H72" s="12">
        <v>27</v>
      </c>
      <c r="I72" s="12">
        <v>5</v>
      </c>
      <c r="J72" s="12"/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25</v>
      </c>
      <c r="R72" s="15">
        <v>3</v>
      </c>
      <c r="S72" s="12"/>
      <c r="T72" s="12"/>
      <c r="U72" s="15">
        <v>3</v>
      </c>
      <c r="V72" s="12"/>
      <c r="W72" s="12"/>
      <c r="X72" s="12">
        <v>4</v>
      </c>
      <c r="Y72" s="12">
        <v>4</v>
      </c>
      <c r="Z72" s="12">
        <v>4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 t="s">
        <v>53</v>
      </c>
      <c r="AJ72" s="12"/>
      <c r="AK72" s="16"/>
    </row>
    <row r="73" spans="1:37" x14ac:dyDescent="0.25">
      <c r="A73" s="17" t="s">
        <v>165</v>
      </c>
      <c r="B73" s="17">
        <v>63</v>
      </c>
      <c r="C73" s="17">
        <v>8.8000000000000007</v>
      </c>
      <c r="D73" s="28">
        <v>43369</v>
      </c>
      <c r="E73" s="19">
        <f>[1]!Tabela1[[#This Row],[PSA]]/[1]!Tabela1[[#This Row],[MRI vol]]</f>
        <v>0.3666666666666667</v>
      </c>
      <c r="F73" s="17"/>
      <c r="G73" s="17"/>
      <c r="H73" s="17">
        <v>24</v>
      </c>
      <c r="I73" s="17">
        <v>4</v>
      </c>
      <c r="J73" s="17"/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5</v>
      </c>
      <c r="R73" s="20">
        <v>2</v>
      </c>
      <c r="S73" s="17"/>
      <c r="T73" s="17"/>
      <c r="U73" s="20">
        <v>3</v>
      </c>
      <c r="V73" s="17"/>
      <c r="W73" s="17"/>
      <c r="X73" s="17">
        <v>2</v>
      </c>
      <c r="Y73" s="17">
        <v>2</v>
      </c>
      <c r="Z73" s="17">
        <v>2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 t="s">
        <v>53</v>
      </c>
      <c r="AJ73" s="17"/>
      <c r="AK73" s="21"/>
    </row>
    <row r="74" spans="1:37" x14ac:dyDescent="0.25">
      <c r="A74" s="12" t="s">
        <v>166</v>
      </c>
      <c r="B74" s="12">
        <v>62</v>
      </c>
      <c r="C74" s="12">
        <v>9.1</v>
      </c>
      <c r="D74" s="27">
        <v>42781</v>
      </c>
      <c r="E74" s="14">
        <f>[1]!Tabela1[[#This Row],[PSA]]/[1]!Tabela1[[#This Row],[MRI vol]]</f>
        <v>0.28437499999999999</v>
      </c>
      <c r="F74" s="12"/>
      <c r="G74" s="12"/>
      <c r="H74" s="12">
        <v>32</v>
      </c>
      <c r="I74" s="12">
        <v>4</v>
      </c>
      <c r="J74" s="12"/>
      <c r="K74" s="15">
        <v>1</v>
      </c>
      <c r="L74" s="15">
        <v>0</v>
      </c>
      <c r="M74" s="15">
        <v>1</v>
      </c>
      <c r="N74" s="15">
        <v>0</v>
      </c>
      <c r="O74" s="15">
        <v>0</v>
      </c>
      <c r="P74" s="15">
        <v>0</v>
      </c>
      <c r="Q74" s="15">
        <v>28</v>
      </c>
      <c r="R74" s="15">
        <v>1</v>
      </c>
      <c r="S74" s="12"/>
      <c r="T74" s="12"/>
      <c r="U74" s="15">
        <v>0</v>
      </c>
      <c r="V74" s="12"/>
      <c r="W74" s="12"/>
      <c r="X74" s="12">
        <v>2</v>
      </c>
      <c r="Y74" s="12">
        <v>1</v>
      </c>
      <c r="Z74" s="12">
        <v>2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 t="s">
        <v>53</v>
      </c>
      <c r="AJ74" s="12"/>
      <c r="AK74" s="16"/>
    </row>
    <row r="75" spans="1:37" x14ac:dyDescent="0.25">
      <c r="A75" s="17" t="s">
        <v>167</v>
      </c>
      <c r="B75" s="17">
        <v>73</v>
      </c>
      <c r="C75" s="17">
        <v>10.5</v>
      </c>
      <c r="D75" s="28">
        <v>43129</v>
      </c>
      <c r="E75" s="19">
        <f>[1]!Tabela1[[#This Row],[PSA]]/[1]!Tabela1[[#This Row],[MRI vol]]</f>
        <v>0.36206896551724138</v>
      </c>
      <c r="F75" s="17"/>
      <c r="G75" s="17"/>
      <c r="H75" s="17">
        <v>29</v>
      </c>
      <c r="I75" s="17">
        <v>4</v>
      </c>
      <c r="J75" s="17"/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13</v>
      </c>
      <c r="R75" s="20">
        <v>5</v>
      </c>
      <c r="S75" s="17"/>
      <c r="T75" s="17"/>
      <c r="U75" s="20">
        <v>0</v>
      </c>
      <c r="V75" s="17"/>
      <c r="W75" s="17"/>
      <c r="X75" s="17">
        <v>5</v>
      </c>
      <c r="Y75" s="17">
        <v>5</v>
      </c>
      <c r="Z75" s="17">
        <v>5</v>
      </c>
      <c r="AA75" s="17">
        <v>1</v>
      </c>
      <c r="AB75" s="17">
        <v>1</v>
      </c>
      <c r="AC75" s="17">
        <v>1</v>
      </c>
      <c r="AD75" s="17">
        <v>0</v>
      </c>
      <c r="AE75" s="17">
        <v>1</v>
      </c>
      <c r="AF75" s="17">
        <v>0</v>
      </c>
      <c r="AG75" s="17">
        <v>0</v>
      </c>
      <c r="AH75" s="17">
        <v>0</v>
      </c>
      <c r="AI75" s="17" t="s">
        <v>47</v>
      </c>
      <c r="AJ75" s="17"/>
      <c r="AK75" s="21"/>
    </row>
    <row r="76" spans="1:37" x14ac:dyDescent="0.25">
      <c r="A76" s="12" t="s">
        <v>168</v>
      </c>
      <c r="B76" s="12">
        <v>67</v>
      </c>
      <c r="C76" s="12">
        <v>12</v>
      </c>
      <c r="D76" s="27">
        <v>43166</v>
      </c>
      <c r="E76" s="14">
        <f>[1]!Tabela1[[#This Row],[PSA]]/[1]!Tabela1[[#This Row],[MRI vol]]</f>
        <v>0.26666666666666666</v>
      </c>
      <c r="F76" s="12"/>
      <c r="G76" s="12"/>
      <c r="H76" s="12">
        <v>45</v>
      </c>
      <c r="I76" s="12">
        <v>4</v>
      </c>
      <c r="J76" s="12"/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6</v>
      </c>
      <c r="R76" s="15">
        <v>0</v>
      </c>
      <c r="S76" s="12"/>
      <c r="T76" s="12"/>
      <c r="U76" s="15">
        <v>1</v>
      </c>
      <c r="V76" s="12"/>
      <c r="W76" s="12"/>
      <c r="X76" s="12">
        <v>2</v>
      </c>
      <c r="Y76" s="12">
        <v>2</v>
      </c>
      <c r="Z76" s="12">
        <v>2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 t="s">
        <v>53</v>
      </c>
      <c r="AJ76" s="12"/>
      <c r="AK76" s="16"/>
    </row>
    <row r="77" spans="1:37" x14ac:dyDescent="0.25">
      <c r="A77" s="17" t="s">
        <v>169</v>
      </c>
      <c r="B77" s="17">
        <v>68</v>
      </c>
      <c r="C77" s="17">
        <v>4.7</v>
      </c>
      <c r="D77" s="28">
        <v>43930</v>
      </c>
      <c r="E77" s="19">
        <f>[1]!Tabela1[[#This Row],[PSA]]/[1]!Tabela1[[#This Row],[MRI vol]]</f>
        <v>0.12702702702702703</v>
      </c>
      <c r="F77" s="17"/>
      <c r="G77" s="17"/>
      <c r="H77" s="17">
        <v>37</v>
      </c>
      <c r="I77" s="17">
        <v>4</v>
      </c>
      <c r="J77" s="17"/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10</v>
      </c>
      <c r="R77" s="20">
        <v>1</v>
      </c>
      <c r="S77" s="17"/>
      <c r="T77" s="17"/>
      <c r="U77" s="20">
        <v>5</v>
      </c>
      <c r="V77" s="17"/>
      <c r="W77" s="17"/>
      <c r="X77" s="17">
        <v>3</v>
      </c>
      <c r="Y77" s="17">
        <v>3</v>
      </c>
      <c r="Z77" s="17">
        <v>3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 t="s">
        <v>53</v>
      </c>
      <c r="AJ77" s="17"/>
      <c r="AK77" s="21"/>
    </row>
    <row r="78" spans="1:37" x14ac:dyDescent="0.25">
      <c r="A78" s="12" t="s">
        <v>170</v>
      </c>
      <c r="B78" s="12">
        <v>48</v>
      </c>
      <c r="C78" s="12">
        <v>10.9</v>
      </c>
      <c r="D78" s="27">
        <v>42990</v>
      </c>
      <c r="E78" s="14">
        <f>[1]!Tabela1[[#This Row],[PSA]]/[1]!Tabela1[[#This Row],[MRI vol]]</f>
        <v>0.29459459459459458</v>
      </c>
      <c r="F78" s="12"/>
      <c r="G78" s="12"/>
      <c r="H78" s="12">
        <v>37</v>
      </c>
      <c r="I78" s="12">
        <v>5</v>
      </c>
      <c r="J78" s="12"/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20</v>
      </c>
      <c r="R78" s="15">
        <v>2</v>
      </c>
      <c r="S78" s="12"/>
      <c r="T78" s="12"/>
      <c r="U78" s="15">
        <v>0</v>
      </c>
      <c r="V78" s="12"/>
      <c r="W78" s="12"/>
      <c r="X78" s="12">
        <v>3</v>
      </c>
      <c r="Y78" s="12">
        <v>3</v>
      </c>
      <c r="Z78" s="12">
        <v>2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 t="s">
        <v>53</v>
      </c>
      <c r="AJ78" s="12"/>
      <c r="AK78" s="16"/>
    </row>
    <row r="79" spans="1:37" x14ac:dyDescent="0.25">
      <c r="A79" s="17" t="s">
        <v>171</v>
      </c>
      <c r="B79" s="17">
        <v>74</v>
      </c>
      <c r="C79" s="17">
        <v>5.7</v>
      </c>
      <c r="D79" s="28">
        <v>43067</v>
      </c>
      <c r="E79" s="19">
        <f>[1]!Tabela1[[#This Row],[PSA]]/[1]!Tabela1[[#This Row],[MRI vol]]</f>
        <v>0.27142857142857146</v>
      </c>
      <c r="F79" s="17"/>
      <c r="G79" s="17"/>
      <c r="H79" s="17">
        <v>21</v>
      </c>
      <c r="I79" s="17">
        <v>5</v>
      </c>
      <c r="J79" s="17"/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17</v>
      </c>
      <c r="R79" s="20">
        <v>3</v>
      </c>
      <c r="S79" s="17"/>
      <c r="T79" s="17"/>
      <c r="U79" s="20">
        <v>3</v>
      </c>
      <c r="V79" s="17"/>
      <c r="W79" s="17"/>
      <c r="X79" s="17">
        <v>4</v>
      </c>
      <c r="Y79" s="17">
        <v>4</v>
      </c>
      <c r="Z79" s="17">
        <v>4</v>
      </c>
      <c r="AA79" s="17">
        <v>0</v>
      </c>
      <c r="AB79" s="17">
        <v>1</v>
      </c>
      <c r="AC79" s="17">
        <v>1</v>
      </c>
      <c r="AD79" s="17">
        <v>1</v>
      </c>
      <c r="AE79" s="17">
        <v>0</v>
      </c>
      <c r="AF79" s="17">
        <v>1</v>
      </c>
      <c r="AG79" s="17">
        <v>1</v>
      </c>
      <c r="AH79" s="17">
        <v>0</v>
      </c>
      <c r="AI79" s="17" t="s">
        <v>72</v>
      </c>
      <c r="AJ79" s="17"/>
      <c r="AK79" s="21"/>
    </row>
    <row r="80" spans="1:37" x14ac:dyDescent="0.25">
      <c r="A80" s="12" t="s">
        <v>172</v>
      </c>
      <c r="B80" s="12">
        <v>63</v>
      </c>
      <c r="C80" s="12">
        <v>34</v>
      </c>
      <c r="D80" s="27">
        <v>42788</v>
      </c>
      <c r="E80" s="14">
        <f>[1]!Tabela1[[#This Row],[PSA]]/[1]!Tabela1[[#This Row],[MRI vol]]</f>
        <v>1.0625</v>
      </c>
      <c r="F80" s="12"/>
      <c r="G80" s="12"/>
      <c r="H80" s="12">
        <v>32</v>
      </c>
      <c r="I80" s="12">
        <v>5</v>
      </c>
      <c r="J80" s="12"/>
      <c r="K80" s="15">
        <v>1</v>
      </c>
      <c r="L80" s="15">
        <v>0</v>
      </c>
      <c r="M80" s="15">
        <v>1</v>
      </c>
      <c r="N80" s="15">
        <v>1</v>
      </c>
      <c r="O80" s="15">
        <v>0</v>
      </c>
      <c r="P80" s="15">
        <v>1</v>
      </c>
      <c r="Q80" s="15">
        <v>26</v>
      </c>
      <c r="R80" s="15">
        <v>2</v>
      </c>
      <c r="S80" s="12"/>
      <c r="T80" s="12"/>
      <c r="U80" s="15">
        <v>2</v>
      </c>
      <c r="V80" s="12"/>
      <c r="W80" s="12"/>
      <c r="X80" s="12">
        <v>4</v>
      </c>
      <c r="Y80" s="12">
        <v>4</v>
      </c>
      <c r="Z80" s="12">
        <v>4</v>
      </c>
      <c r="AA80" s="12">
        <v>0</v>
      </c>
      <c r="AB80" s="12">
        <v>1</v>
      </c>
      <c r="AC80" s="12">
        <v>0</v>
      </c>
      <c r="AD80" s="12">
        <v>0</v>
      </c>
      <c r="AE80" s="12">
        <v>0</v>
      </c>
      <c r="AF80" s="12">
        <v>1</v>
      </c>
      <c r="AG80" s="12">
        <v>1</v>
      </c>
      <c r="AH80" s="12">
        <v>1</v>
      </c>
      <c r="AI80" s="12" t="s">
        <v>72</v>
      </c>
      <c r="AJ80" s="12"/>
      <c r="AK80" s="16"/>
    </row>
    <row r="81" spans="1:37" x14ac:dyDescent="0.25">
      <c r="A81" s="17" t="s">
        <v>173</v>
      </c>
      <c r="B81" s="17">
        <v>56</v>
      </c>
      <c r="C81" s="17">
        <v>13.9</v>
      </c>
      <c r="D81" s="28">
        <v>43332</v>
      </c>
      <c r="E81" s="19">
        <f>[1]!Tabela1[[#This Row],[PSA]]/[1]!Tabela1[[#This Row],[MRI vol]]</f>
        <v>0.63181818181818183</v>
      </c>
      <c r="F81" s="17"/>
      <c r="G81" s="17"/>
      <c r="H81" s="17">
        <v>22</v>
      </c>
      <c r="I81" s="17">
        <v>4</v>
      </c>
      <c r="J81" s="17"/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14</v>
      </c>
      <c r="R81" s="20">
        <v>1</v>
      </c>
      <c r="S81" s="17"/>
      <c r="T81" s="17"/>
      <c r="U81" s="20">
        <v>0</v>
      </c>
      <c r="V81" s="17"/>
      <c r="W81" s="17"/>
      <c r="X81" s="17">
        <v>3</v>
      </c>
      <c r="Y81" s="17">
        <v>3</v>
      </c>
      <c r="Z81" s="17">
        <v>3</v>
      </c>
      <c r="AA81" s="17">
        <v>1</v>
      </c>
      <c r="AB81" s="17">
        <v>0</v>
      </c>
      <c r="AC81" s="17">
        <v>1</v>
      </c>
      <c r="AD81" s="17">
        <v>0</v>
      </c>
      <c r="AE81" s="17">
        <v>1</v>
      </c>
      <c r="AF81" s="17">
        <v>0</v>
      </c>
      <c r="AG81" s="17">
        <v>0</v>
      </c>
      <c r="AH81" s="17">
        <v>0</v>
      </c>
      <c r="AI81" s="17" t="s">
        <v>47</v>
      </c>
      <c r="AJ81" s="17"/>
      <c r="AK81" s="21"/>
    </row>
    <row r="82" spans="1:37" x14ac:dyDescent="0.25">
      <c r="A82" s="12" t="s">
        <v>174</v>
      </c>
      <c r="B82" s="12">
        <v>72</v>
      </c>
      <c r="C82" s="12">
        <v>34</v>
      </c>
      <c r="D82" s="27">
        <v>42683</v>
      </c>
      <c r="E82" s="14">
        <f>[1]!Tabela1[[#This Row],[PSA]]/[1]!Tabela1[[#This Row],[MRI vol]]</f>
        <v>0.73913043478260865</v>
      </c>
      <c r="F82" s="12"/>
      <c r="G82" s="12"/>
      <c r="H82" s="12">
        <v>46</v>
      </c>
      <c r="I82" s="12">
        <v>3</v>
      </c>
      <c r="J82" s="12"/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11</v>
      </c>
      <c r="R82" s="15">
        <v>4</v>
      </c>
      <c r="S82" s="12"/>
      <c r="T82" s="12"/>
      <c r="U82" s="15">
        <v>0</v>
      </c>
      <c r="V82" s="12"/>
      <c r="W82" s="12"/>
      <c r="X82" s="12">
        <v>4</v>
      </c>
      <c r="Y82" s="12">
        <v>4</v>
      </c>
      <c r="Z82" s="12">
        <v>4</v>
      </c>
      <c r="AA82" s="12">
        <v>0</v>
      </c>
      <c r="AB82" s="12">
        <v>1</v>
      </c>
      <c r="AC82" s="12">
        <v>1</v>
      </c>
      <c r="AD82" s="12">
        <v>1</v>
      </c>
      <c r="AE82" s="12">
        <v>1</v>
      </c>
      <c r="AF82" s="12">
        <v>1</v>
      </c>
      <c r="AG82" s="12">
        <v>1</v>
      </c>
      <c r="AH82" s="12">
        <v>0</v>
      </c>
      <c r="AI82" s="12" t="s">
        <v>72</v>
      </c>
      <c r="AJ82" s="12"/>
      <c r="AK82" s="16"/>
    </row>
    <row r="83" spans="1:37" x14ac:dyDescent="0.25">
      <c r="A83" s="17" t="s">
        <v>175</v>
      </c>
      <c r="B83" s="17">
        <v>64</v>
      </c>
      <c r="C83" s="17">
        <v>9.5</v>
      </c>
      <c r="D83" s="28">
        <v>43609</v>
      </c>
      <c r="E83" s="19">
        <f>[1]!Tabela1[[#This Row],[PSA]]/[1]!Tabela1[[#This Row],[MRI vol]]</f>
        <v>0.15322580645161291</v>
      </c>
      <c r="F83" s="17"/>
      <c r="G83" s="17"/>
      <c r="H83" s="17">
        <v>62</v>
      </c>
      <c r="I83" s="17">
        <v>4</v>
      </c>
      <c r="J83" s="17"/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11</v>
      </c>
      <c r="R83" s="20">
        <v>0</v>
      </c>
      <c r="S83" s="17"/>
      <c r="T83" s="17"/>
      <c r="U83" s="20">
        <v>1</v>
      </c>
      <c r="V83" s="17"/>
      <c r="W83" s="17"/>
      <c r="X83" s="17">
        <v>1</v>
      </c>
      <c r="Y83" s="17">
        <v>1</v>
      </c>
      <c r="Z83" s="17">
        <v>1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 t="s">
        <v>53</v>
      </c>
      <c r="AJ83" s="17"/>
      <c r="AK83" s="21"/>
    </row>
    <row r="84" spans="1:37" x14ac:dyDescent="0.25">
      <c r="A84" s="12" t="s">
        <v>176</v>
      </c>
      <c r="B84" s="12">
        <v>72</v>
      </c>
      <c r="C84" s="12">
        <v>32</v>
      </c>
      <c r="D84" s="27">
        <v>43103</v>
      </c>
      <c r="E84" s="14">
        <f>[1]!Tabela1[[#This Row],[PSA]]/[1]!Tabela1[[#This Row],[MRI vol]]</f>
        <v>0.14953271028037382</v>
      </c>
      <c r="F84" s="12"/>
      <c r="G84" s="12"/>
      <c r="H84" s="12">
        <v>214</v>
      </c>
      <c r="I84" s="12">
        <v>3</v>
      </c>
      <c r="J84" s="12"/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19</v>
      </c>
      <c r="R84" s="15">
        <v>2</v>
      </c>
      <c r="S84" s="12"/>
      <c r="T84" s="12"/>
      <c r="U84" s="15">
        <v>0</v>
      </c>
      <c r="V84" s="12"/>
      <c r="W84" s="12"/>
      <c r="X84" s="12">
        <v>2</v>
      </c>
      <c r="Y84" s="12">
        <v>2</v>
      </c>
      <c r="Z84" s="12">
        <v>1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 t="s">
        <v>53</v>
      </c>
      <c r="AJ84" s="12"/>
      <c r="AK84" s="16"/>
    </row>
    <row r="85" spans="1:37" x14ac:dyDescent="0.25">
      <c r="A85" s="17" t="s">
        <v>177</v>
      </c>
      <c r="B85" s="17">
        <v>62</v>
      </c>
      <c r="C85" s="17">
        <v>9</v>
      </c>
      <c r="D85" s="28">
        <v>43074</v>
      </c>
      <c r="E85" s="19">
        <f>[1]!Tabela1[[#This Row],[PSA]]/[1]!Tabela1[[#This Row],[MRI vol]]</f>
        <v>0.375</v>
      </c>
      <c r="F85" s="17"/>
      <c r="G85" s="17"/>
      <c r="H85" s="17">
        <v>24</v>
      </c>
      <c r="I85" s="17">
        <v>4</v>
      </c>
      <c r="J85" s="17"/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9</v>
      </c>
      <c r="R85" s="20">
        <v>0</v>
      </c>
      <c r="S85" s="17"/>
      <c r="T85" s="17"/>
      <c r="U85" s="20">
        <v>1</v>
      </c>
      <c r="V85" s="17"/>
      <c r="W85" s="17"/>
      <c r="X85" s="17">
        <v>2</v>
      </c>
      <c r="Y85" s="17">
        <v>2</v>
      </c>
      <c r="Z85" s="17">
        <v>2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 t="s">
        <v>53</v>
      </c>
      <c r="AJ85" s="17"/>
      <c r="AK85" s="21"/>
    </row>
    <row r="86" spans="1:37" x14ac:dyDescent="0.25">
      <c r="A86" s="12" t="s">
        <v>178</v>
      </c>
      <c r="B86" s="12">
        <v>65</v>
      </c>
      <c r="C86" s="12">
        <v>8.5</v>
      </c>
      <c r="D86" s="27">
        <v>43909</v>
      </c>
      <c r="E86" s="14">
        <f>[1]!Tabela1[[#This Row],[PSA]]/[1]!Tabela1[[#This Row],[MRI vol]]</f>
        <v>0.20238095238095238</v>
      </c>
      <c r="F86" s="12"/>
      <c r="G86" s="12"/>
      <c r="H86" s="12">
        <v>42</v>
      </c>
      <c r="I86" s="12">
        <v>4</v>
      </c>
      <c r="J86" s="12"/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12</v>
      </c>
      <c r="R86" s="15">
        <v>0</v>
      </c>
      <c r="S86" s="12"/>
      <c r="T86" s="12"/>
      <c r="U86" s="15">
        <v>1</v>
      </c>
      <c r="V86" s="12"/>
      <c r="W86" s="12"/>
      <c r="X86" s="12">
        <v>1</v>
      </c>
      <c r="Y86" s="12">
        <v>1</v>
      </c>
      <c r="Z86" s="12">
        <v>1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 t="s">
        <v>53</v>
      </c>
      <c r="AJ86" s="12"/>
      <c r="AK86" s="16"/>
    </row>
    <row r="87" spans="1:37" x14ac:dyDescent="0.25">
      <c r="A87" s="17" t="s">
        <v>179</v>
      </c>
      <c r="B87" s="17">
        <v>65</v>
      </c>
      <c r="C87" s="17">
        <v>7.8</v>
      </c>
      <c r="D87" s="28">
        <v>43096</v>
      </c>
      <c r="E87" s="19">
        <f>[1]!Tabela1[[#This Row],[PSA]]/[1]!Tabela1[[#This Row],[MRI vol]]</f>
        <v>0.13448275862068965</v>
      </c>
      <c r="F87" s="17"/>
      <c r="G87" s="17"/>
      <c r="H87" s="17">
        <v>58</v>
      </c>
      <c r="I87" s="17">
        <v>5</v>
      </c>
      <c r="J87" s="17"/>
      <c r="K87" s="20">
        <v>1</v>
      </c>
      <c r="L87" s="20">
        <v>1</v>
      </c>
      <c r="M87" s="20">
        <v>0</v>
      </c>
      <c r="N87" s="20">
        <v>1</v>
      </c>
      <c r="O87" s="20">
        <v>1</v>
      </c>
      <c r="P87" s="20">
        <v>0</v>
      </c>
      <c r="Q87" s="20">
        <v>37</v>
      </c>
      <c r="R87" s="20">
        <v>1</v>
      </c>
      <c r="S87" s="17"/>
      <c r="T87" s="17"/>
      <c r="U87" s="20">
        <v>4</v>
      </c>
      <c r="V87" s="17"/>
      <c r="W87" s="17"/>
      <c r="X87" s="17">
        <v>5</v>
      </c>
      <c r="Y87" s="17">
        <v>4</v>
      </c>
      <c r="Z87" s="17">
        <v>5</v>
      </c>
      <c r="AA87" s="17">
        <v>0</v>
      </c>
      <c r="AB87" s="17">
        <v>1</v>
      </c>
      <c r="AC87" s="17">
        <v>1</v>
      </c>
      <c r="AD87" s="17">
        <v>1</v>
      </c>
      <c r="AE87" s="17">
        <v>1</v>
      </c>
      <c r="AF87" s="17">
        <v>1</v>
      </c>
      <c r="AG87" s="17">
        <v>1</v>
      </c>
      <c r="AH87" s="17">
        <v>1</v>
      </c>
      <c r="AI87" s="17" t="s">
        <v>72</v>
      </c>
      <c r="AJ87" s="17"/>
      <c r="AK87" s="21"/>
    </row>
    <row r="88" spans="1:37" x14ac:dyDescent="0.25">
      <c r="A88" s="12" t="s">
        <v>180</v>
      </c>
      <c r="B88" s="12">
        <v>51</v>
      </c>
      <c r="C88" s="12">
        <v>4.8</v>
      </c>
      <c r="D88" s="27">
        <v>43089</v>
      </c>
      <c r="E88" s="14">
        <f>[1]!Tabela1[[#This Row],[PSA]]/[1]!Tabela1[[#This Row],[MRI vol]]</f>
        <v>7.7419354838709681E-2</v>
      </c>
      <c r="F88" s="12"/>
      <c r="G88" s="12"/>
      <c r="H88" s="12">
        <v>62</v>
      </c>
      <c r="I88" s="12">
        <v>4</v>
      </c>
      <c r="J88" s="12"/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25</v>
      </c>
      <c r="R88" s="15">
        <v>0</v>
      </c>
      <c r="S88" s="12"/>
      <c r="T88" s="12"/>
      <c r="U88" s="15">
        <v>4</v>
      </c>
      <c r="V88" s="12"/>
      <c r="W88" s="12"/>
      <c r="X88" s="12">
        <v>2</v>
      </c>
      <c r="Y88" s="12">
        <v>2</v>
      </c>
      <c r="Z88" s="12">
        <v>2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 t="s">
        <v>53</v>
      </c>
      <c r="AJ88" s="12"/>
      <c r="AK88" s="16"/>
    </row>
    <row r="89" spans="1:37" x14ac:dyDescent="0.25">
      <c r="A89" s="17" t="s">
        <v>181</v>
      </c>
      <c r="B89" s="17">
        <v>62</v>
      </c>
      <c r="C89" s="17">
        <v>55</v>
      </c>
      <c r="D89" s="28">
        <v>44020</v>
      </c>
      <c r="E89" s="19">
        <f>[1]!Tabela1[[#This Row],[PSA]]/[1]!Tabela1[[#This Row],[MRI vol]]</f>
        <v>0.65476190476190477</v>
      </c>
      <c r="F89" s="17"/>
      <c r="G89" s="17"/>
      <c r="H89" s="17">
        <v>84</v>
      </c>
      <c r="I89" s="17">
        <v>5</v>
      </c>
      <c r="J89" s="17"/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37</v>
      </c>
      <c r="R89" s="20">
        <v>1</v>
      </c>
      <c r="S89" s="17"/>
      <c r="T89" s="17"/>
      <c r="U89" s="20">
        <v>1</v>
      </c>
      <c r="V89" s="17"/>
      <c r="W89" s="17"/>
      <c r="X89" s="17">
        <v>2</v>
      </c>
      <c r="Y89" s="17">
        <v>2</v>
      </c>
      <c r="Z89" s="17">
        <v>2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 t="s">
        <v>182</v>
      </c>
      <c r="AJ89" s="17"/>
      <c r="AK89" s="21"/>
    </row>
    <row r="90" spans="1:37" x14ac:dyDescent="0.25">
      <c r="A90" s="12" t="s">
        <v>183</v>
      </c>
      <c r="B90" s="12">
        <v>68</v>
      </c>
      <c r="C90" s="12">
        <v>14.5</v>
      </c>
      <c r="D90" s="27">
        <v>42488</v>
      </c>
      <c r="E90" s="14">
        <f>[1]!Tabela1[[#This Row],[PSA]]/[1]!Tabela1[[#This Row],[MRI vol]]</f>
        <v>0.60416666666666663</v>
      </c>
      <c r="F90" s="12"/>
      <c r="G90" s="12"/>
      <c r="H90" s="12">
        <v>24</v>
      </c>
      <c r="I90" s="12">
        <v>5</v>
      </c>
      <c r="J90" s="12"/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14</v>
      </c>
      <c r="R90" s="15">
        <v>2</v>
      </c>
      <c r="S90" s="12"/>
      <c r="T90" s="12"/>
      <c r="U90" s="15">
        <v>0</v>
      </c>
      <c r="V90" s="12"/>
      <c r="W90" s="12"/>
      <c r="X90" s="12">
        <v>2</v>
      </c>
      <c r="Y90" s="12">
        <v>2</v>
      </c>
      <c r="Z90" s="12">
        <v>2</v>
      </c>
      <c r="AA90" s="12">
        <v>0</v>
      </c>
      <c r="AB90" s="12">
        <v>0</v>
      </c>
      <c r="AC90" s="12">
        <v>1</v>
      </c>
      <c r="AD90" s="12">
        <v>1</v>
      </c>
      <c r="AE90" s="12">
        <v>0</v>
      </c>
      <c r="AF90" s="12">
        <v>0</v>
      </c>
      <c r="AG90" s="12">
        <v>0</v>
      </c>
      <c r="AH90" s="12">
        <v>0</v>
      </c>
      <c r="AI90" s="12" t="s">
        <v>47</v>
      </c>
      <c r="AJ90" s="12"/>
      <c r="AK90" s="16"/>
    </row>
    <row r="91" spans="1:37" x14ac:dyDescent="0.25">
      <c r="A91" s="17" t="s">
        <v>184</v>
      </c>
      <c r="B91" s="17">
        <v>58</v>
      </c>
      <c r="C91" s="17">
        <v>4.2</v>
      </c>
      <c r="D91" s="28">
        <v>42992</v>
      </c>
      <c r="E91" s="19">
        <f>[1]!Tabela1[[#This Row],[PSA]]/[1]!Tabela1[[#This Row],[MRI vol]]</f>
        <v>0.13125000000000001</v>
      </c>
      <c r="F91" s="17"/>
      <c r="G91" s="17"/>
      <c r="H91" s="17">
        <v>32</v>
      </c>
      <c r="I91" s="17">
        <v>4</v>
      </c>
      <c r="J91" s="17"/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14</v>
      </c>
      <c r="R91" s="20">
        <v>1</v>
      </c>
      <c r="S91" s="17"/>
      <c r="T91" s="17"/>
      <c r="U91" s="20">
        <v>0</v>
      </c>
      <c r="V91" s="17"/>
      <c r="W91" s="17"/>
      <c r="X91" s="17">
        <v>1</v>
      </c>
      <c r="Y91" s="17">
        <v>1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 t="s">
        <v>130</v>
      </c>
      <c r="AJ91" s="17"/>
      <c r="AK91" s="21"/>
    </row>
    <row r="92" spans="1:37" x14ac:dyDescent="0.25">
      <c r="A92" s="12" t="s">
        <v>185</v>
      </c>
      <c r="B92" s="12">
        <v>55</v>
      </c>
      <c r="C92" s="12">
        <v>17</v>
      </c>
      <c r="D92" s="27">
        <v>42404</v>
      </c>
      <c r="E92" s="14">
        <f>[1]!Tabela1[[#This Row],[PSA]]/[1]!Tabela1[[#This Row],[MRI vol]]</f>
        <v>0.5</v>
      </c>
      <c r="F92" s="12"/>
      <c r="G92" s="12"/>
      <c r="H92" s="12">
        <v>34</v>
      </c>
      <c r="I92" s="12">
        <v>5</v>
      </c>
      <c r="J92" s="12"/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13</v>
      </c>
      <c r="R92" s="15">
        <v>0</v>
      </c>
      <c r="S92" s="12"/>
      <c r="T92" s="12"/>
      <c r="U92" s="15">
        <v>3</v>
      </c>
      <c r="V92" s="12"/>
      <c r="W92" s="12"/>
      <c r="X92" s="12">
        <v>3</v>
      </c>
      <c r="Y92" s="12">
        <v>0</v>
      </c>
      <c r="Z92" s="12">
        <v>3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 t="s">
        <v>53</v>
      </c>
      <c r="AJ92" s="12"/>
      <c r="AK92" s="16"/>
    </row>
    <row r="93" spans="1:37" x14ac:dyDescent="0.25">
      <c r="A93" s="17" t="s">
        <v>186</v>
      </c>
      <c r="B93" s="17">
        <v>61</v>
      </c>
      <c r="C93" s="17">
        <v>5.2</v>
      </c>
      <c r="D93" s="28">
        <v>42831</v>
      </c>
      <c r="E93" s="19">
        <f>[1]!Tabela1[[#This Row],[PSA]]/[1]!Tabela1[[#This Row],[MRI vol]]</f>
        <v>0.16250000000000001</v>
      </c>
      <c r="F93" s="17"/>
      <c r="G93" s="17"/>
      <c r="H93" s="17">
        <v>32</v>
      </c>
      <c r="I93" s="17">
        <v>5</v>
      </c>
      <c r="J93" s="17"/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17</v>
      </c>
      <c r="R93" s="20">
        <v>1</v>
      </c>
      <c r="S93" s="17"/>
      <c r="T93" s="17"/>
      <c r="U93" s="20">
        <v>1</v>
      </c>
      <c r="V93" s="17"/>
      <c r="W93" s="17"/>
      <c r="X93" s="17">
        <v>3</v>
      </c>
      <c r="Y93" s="17">
        <v>3</v>
      </c>
      <c r="Z93" s="17">
        <v>3</v>
      </c>
      <c r="AA93" s="17">
        <v>0</v>
      </c>
      <c r="AB93" s="17">
        <v>0</v>
      </c>
      <c r="AC93" s="17">
        <v>1</v>
      </c>
      <c r="AD93" s="17">
        <v>1</v>
      </c>
      <c r="AE93" s="17">
        <v>1</v>
      </c>
      <c r="AF93" s="17">
        <v>1</v>
      </c>
      <c r="AG93" s="17">
        <v>1</v>
      </c>
      <c r="AH93" s="17">
        <v>1</v>
      </c>
      <c r="AI93" s="17" t="s">
        <v>72</v>
      </c>
      <c r="AJ93" s="17"/>
      <c r="AK93" s="21"/>
    </row>
    <row r="94" spans="1:37" x14ac:dyDescent="0.25">
      <c r="A94" s="12" t="s">
        <v>187</v>
      </c>
      <c r="B94" s="12">
        <v>68</v>
      </c>
      <c r="C94" s="12">
        <v>4.3</v>
      </c>
      <c r="D94" s="27">
        <v>43340</v>
      </c>
      <c r="E94" s="14">
        <f>[1]!Tabela1[[#This Row],[PSA]]/[1]!Tabela1[[#This Row],[MRI vol]]</f>
        <v>8.431372549019607E-2</v>
      </c>
      <c r="F94" s="12"/>
      <c r="G94" s="12"/>
      <c r="H94" s="12">
        <v>51</v>
      </c>
      <c r="I94" s="12">
        <v>4</v>
      </c>
      <c r="J94" s="12"/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15</v>
      </c>
      <c r="R94" s="15">
        <v>2</v>
      </c>
      <c r="S94" s="12"/>
      <c r="T94" s="12"/>
      <c r="U94" s="15">
        <v>0</v>
      </c>
      <c r="V94" s="12"/>
      <c r="W94" s="12"/>
      <c r="X94" s="12"/>
      <c r="Y94" s="12"/>
      <c r="Z94" s="12"/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 t="s">
        <v>130</v>
      </c>
      <c r="AJ94" s="12"/>
      <c r="AK94" s="16"/>
    </row>
    <row r="95" spans="1:37" x14ac:dyDescent="0.25">
      <c r="A95" s="17" t="s">
        <v>188</v>
      </c>
      <c r="B95" s="17">
        <v>48</v>
      </c>
      <c r="C95" s="17">
        <v>12.7</v>
      </c>
      <c r="D95" s="28">
        <v>43479</v>
      </c>
      <c r="E95" s="19">
        <f>[1]!Tabela1[[#This Row],[PSA]]/[1]!Tabela1[[#This Row],[MRI vol]]</f>
        <v>0.36285714285714282</v>
      </c>
      <c r="F95" s="17"/>
      <c r="G95" s="17"/>
      <c r="H95" s="17">
        <v>35</v>
      </c>
      <c r="I95" s="17">
        <v>1</v>
      </c>
      <c r="J95" s="17"/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19</v>
      </c>
      <c r="R95" s="20">
        <v>4</v>
      </c>
      <c r="S95" s="17"/>
      <c r="T95" s="17"/>
      <c r="U95" s="20">
        <v>0</v>
      </c>
      <c r="V95" s="17"/>
      <c r="W95" s="17"/>
      <c r="X95" s="17">
        <v>4</v>
      </c>
      <c r="Y95" s="17">
        <v>4</v>
      </c>
      <c r="Z95" s="17">
        <v>2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 t="s">
        <v>53</v>
      </c>
      <c r="AJ95" s="17"/>
      <c r="AK95" s="21"/>
    </row>
    <row r="96" spans="1:37" x14ac:dyDescent="0.25">
      <c r="A96" s="12" t="s">
        <v>189</v>
      </c>
      <c r="B96" s="12">
        <v>57</v>
      </c>
      <c r="C96" s="12">
        <v>10.8</v>
      </c>
      <c r="D96" s="27">
        <v>43004</v>
      </c>
      <c r="E96" s="14">
        <f>[1]!Tabela1[[#This Row],[PSA]]/[1]!Tabela1[[#This Row],[MRI vol]]</f>
        <v>0.67500000000000004</v>
      </c>
      <c r="F96" s="12"/>
      <c r="G96" s="12"/>
      <c r="H96" s="12">
        <v>16</v>
      </c>
      <c r="I96" s="12">
        <v>4</v>
      </c>
      <c r="J96" s="12"/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7</v>
      </c>
      <c r="R96" s="15">
        <v>3</v>
      </c>
      <c r="S96" s="12"/>
      <c r="T96" s="12"/>
      <c r="U96" s="15">
        <v>0</v>
      </c>
      <c r="V96" s="12"/>
      <c r="W96" s="12"/>
      <c r="X96" s="12">
        <v>3</v>
      </c>
      <c r="Y96" s="12">
        <v>3</v>
      </c>
      <c r="Z96" s="12">
        <v>3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 t="s">
        <v>53</v>
      </c>
      <c r="AJ96" s="12"/>
      <c r="AK96" s="16"/>
    </row>
    <row r="97" spans="1:37" x14ac:dyDescent="0.25">
      <c r="A97" s="17" t="s">
        <v>190</v>
      </c>
      <c r="B97" s="17">
        <v>60</v>
      </c>
      <c r="C97" s="17">
        <v>12.9</v>
      </c>
      <c r="D97" s="28">
        <v>43262</v>
      </c>
      <c r="E97" s="19">
        <f>[1]!Tabela1[[#This Row],[PSA]]/[1]!Tabela1[[#This Row],[MRI vol]]</f>
        <v>0.35833333333333334</v>
      </c>
      <c r="F97" s="17"/>
      <c r="G97" s="17"/>
      <c r="H97" s="17">
        <v>36</v>
      </c>
      <c r="I97" s="17">
        <v>3</v>
      </c>
      <c r="J97" s="17"/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13</v>
      </c>
      <c r="R97" s="20">
        <v>2</v>
      </c>
      <c r="S97" s="17"/>
      <c r="T97" s="17"/>
      <c r="U97" s="20">
        <v>0</v>
      </c>
      <c r="V97" s="17"/>
      <c r="W97" s="17"/>
      <c r="X97" s="17">
        <v>2</v>
      </c>
      <c r="Y97" s="17">
        <v>2</v>
      </c>
      <c r="Z97" s="17">
        <v>2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 t="s">
        <v>53</v>
      </c>
      <c r="AJ97" s="17"/>
      <c r="AK97" s="21"/>
    </row>
    <row r="98" spans="1:37" x14ac:dyDescent="0.25">
      <c r="A98" s="12" t="s">
        <v>191</v>
      </c>
      <c r="B98" s="12">
        <v>53</v>
      </c>
      <c r="C98" s="12">
        <v>31</v>
      </c>
      <c r="D98" s="27">
        <v>42830</v>
      </c>
      <c r="E98" s="14">
        <f>[1]!Tabela1[[#This Row],[PSA]]/[1]!Tabela1[[#This Row],[MRI vol]]</f>
        <v>1.3478260869565217</v>
      </c>
      <c r="F98" s="12"/>
      <c r="G98" s="12"/>
      <c r="H98" s="12">
        <v>23</v>
      </c>
      <c r="I98" s="12">
        <v>5</v>
      </c>
      <c r="J98" s="12"/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11</v>
      </c>
      <c r="R98" s="15">
        <v>1</v>
      </c>
      <c r="S98" s="12"/>
      <c r="T98" s="12"/>
      <c r="U98" s="15">
        <v>1</v>
      </c>
      <c r="V98" s="12"/>
      <c r="W98" s="12"/>
      <c r="X98" s="12">
        <v>2</v>
      </c>
      <c r="Y98" s="12">
        <v>2</v>
      </c>
      <c r="Z98" s="12">
        <v>2</v>
      </c>
      <c r="AA98" s="12">
        <v>0</v>
      </c>
      <c r="AB98" s="12">
        <v>0</v>
      </c>
      <c r="AC98" s="12">
        <v>1</v>
      </c>
      <c r="AD98" s="12">
        <v>0</v>
      </c>
      <c r="AE98" s="12">
        <v>1</v>
      </c>
      <c r="AF98" s="12">
        <v>0</v>
      </c>
      <c r="AG98" s="12">
        <v>0</v>
      </c>
      <c r="AH98" s="12">
        <v>0</v>
      </c>
      <c r="AI98" s="12" t="s">
        <v>47</v>
      </c>
      <c r="AJ98" s="12"/>
      <c r="AK98" s="16"/>
    </row>
    <row r="99" spans="1:37" x14ac:dyDescent="0.25">
      <c r="A99" s="17" t="s">
        <v>192</v>
      </c>
      <c r="B99" s="17">
        <v>68</v>
      </c>
      <c r="C99" s="17">
        <v>12.7</v>
      </c>
      <c r="D99" s="28">
        <v>42565</v>
      </c>
      <c r="E99" s="19">
        <f>[1]!Tabela1[[#This Row],[PSA]]/[1]!Tabela1[[#This Row],[MRI vol]]</f>
        <v>0.34324324324324323</v>
      </c>
      <c r="F99" s="17"/>
      <c r="G99" s="17"/>
      <c r="H99" s="17">
        <v>37</v>
      </c>
      <c r="I99" s="17">
        <v>4</v>
      </c>
      <c r="J99" s="17"/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12</v>
      </c>
      <c r="R99" s="20">
        <v>0</v>
      </c>
      <c r="S99" s="17"/>
      <c r="T99" s="17"/>
      <c r="U99" s="20">
        <v>0</v>
      </c>
      <c r="V99" s="17"/>
      <c r="W99" s="17"/>
      <c r="X99" s="17">
        <v>2</v>
      </c>
      <c r="Y99" s="17">
        <v>2</v>
      </c>
      <c r="Z99" s="17">
        <v>2</v>
      </c>
      <c r="AA99" s="17">
        <v>0</v>
      </c>
      <c r="AB99" s="17">
        <v>0</v>
      </c>
      <c r="AC99" s="17">
        <v>1</v>
      </c>
      <c r="AD99" s="17">
        <v>1</v>
      </c>
      <c r="AE99" s="17">
        <v>0</v>
      </c>
      <c r="AF99" s="17">
        <v>0</v>
      </c>
      <c r="AG99" s="17">
        <v>0</v>
      </c>
      <c r="AH99" s="17">
        <v>0</v>
      </c>
      <c r="AI99" s="17" t="s">
        <v>47</v>
      </c>
      <c r="AJ99" s="17"/>
      <c r="AK99" s="21"/>
    </row>
    <row r="100" spans="1:37" x14ac:dyDescent="0.25">
      <c r="A100" s="12" t="s">
        <v>193</v>
      </c>
      <c r="B100" s="12">
        <v>61</v>
      </c>
      <c r="C100" s="12">
        <v>2.2000000000000002</v>
      </c>
      <c r="D100" s="27">
        <v>43999</v>
      </c>
      <c r="E100" s="14">
        <f>[1]!Tabela1[[#This Row],[PSA]]/[1]!Tabela1[[#This Row],[MRI vol]]</f>
        <v>5.1162790697674425E-2</v>
      </c>
      <c r="F100" s="12"/>
      <c r="G100" s="12"/>
      <c r="H100" s="12">
        <v>43</v>
      </c>
      <c r="I100" s="12">
        <v>5</v>
      </c>
      <c r="J100" s="12"/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38</v>
      </c>
      <c r="R100" s="15">
        <v>3</v>
      </c>
      <c r="S100" s="12"/>
      <c r="T100" s="12"/>
      <c r="U100" s="15">
        <v>0</v>
      </c>
      <c r="V100" s="12"/>
      <c r="W100" s="12"/>
      <c r="X100" s="12">
        <v>3</v>
      </c>
      <c r="Y100" s="12">
        <v>3</v>
      </c>
      <c r="Z100" s="12">
        <v>3</v>
      </c>
      <c r="AA100" s="12">
        <v>1</v>
      </c>
      <c r="AB100" s="12">
        <v>0</v>
      </c>
      <c r="AC100" s="12">
        <v>1</v>
      </c>
      <c r="AD100" s="12">
        <v>1</v>
      </c>
      <c r="AE100" s="12">
        <v>1</v>
      </c>
      <c r="AF100" s="12">
        <v>0</v>
      </c>
      <c r="AG100" s="12">
        <v>0</v>
      </c>
      <c r="AH100" s="12">
        <v>0</v>
      </c>
      <c r="AI100" s="12" t="s">
        <v>47</v>
      </c>
      <c r="AJ100" s="12"/>
      <c r="AK100" s="16"/>
    </row>
    <row r="101" spans="1:37" x14ac:dyDescent="0.25">
      <c r="A101" s="17" t="s">
        <v>194</v>
      </c>
      <c r="B101" s="17">
        <v>76</v>
      </c>
      <c r="C101" s="17">
        <v>4.5999999999999996</v>
      </c>
      <c r="D101" s="28">
        <v>43937</v>
      </c>
      <c r="E101" s="19">
        <f>[1]!Tabela1[[#This Row],[PSA]]/[1]!Tabela1[[#This Row],[MRI vol]]</f>
        <v>5.609756097560975E-2</v>
      </c>
      <c r="F101" s="17"/>
      <c r="G101" s="17"/>
      <c r="H101" s="17">
        <v>82</v>
      </c>
      <c r="I101" s="17">
        <v>4</v>
      </c>
      <c r="J101" s="17"/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14</v>
      </c>
      <c r="R101" s="20">
        <v>0</v>
      </c>
      <c r="S101" s="17"/>
      <c r="T101" s="17"/>
      <c r="U101" s="20">
        <v>1</v>
      </c>
      <c r="V101" s="17"/>
      <c r="W101" s="17"/>
      <c r="X101" s="17">
        <v>2</v>
      </c>
      <c r="Y101" s="17">
        <v>2</v>
      </c>
      <c r="Z101" s="17">
        <v>2</v>
      </c>
      <c r="AA101" s="17">
        <v>0</v>
      </c>
      <c r="AB101" s="17">
        <v>0</v>
      </c>
      <c r="AC101" s="17">
        <v>0</v>
      </c>
      <c r="AD101" s="17">
        <v>0</v>
      </c>
      <c r="AE101" s="17">
        <v>0</v>
      </c>
      <c r="AF101" s="17">
        <v>0</v>
      </c>
      <c r="AG101" s="17">
        <v>0</v>
      </c>
      <c r="AH101" s="17">
        <v>0</v>
      </c>
      <c r="AI101" s="17" t="s">
        <v>53</v>
      </c>
      <c r="AJ101" s="17"/>
      <c r="AK101" s="21"/>
    </row>
    <row r="102" spans="1:37" x14ac:dyDescent="0.25">
      <c r="A102" s="12" t="s">
        <v>195</v>
      </c>
      <c r="B102" s="12">
        <v>70</v>
      </c>
      <c r="C102" s="12">
        <v>5.0999999999999996</v>
      </c>
      <c r="D102" s="27">
        <v>43542</v>
      </c>
      <c r="E102" s="14">
        <f>[1]!Tabela1[[#This Row],[PSA]]/[1]!Tabela1[[#This Row],[MRI vol]]</f>
        <v>0.14571428571428571</v>
      </c>
      <c r="F102" s="12"/>
      <c r="G102" s="12"/>
      <c r="H102" s="12">
        <v>35</v>
      </c>
      <c r="I102" s="12">
        <v>4</v>
      </c>
      <c r="J102" s="12"/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7</v>
      </c>
      <c r="R102" s="15">
        <v>2</v>
      </c>
      <c r="S102" s="12"/>
      <c r="T102" s="12"/>
      <c r="U102" s="15">
        <v>3</v>
      </c>
      <c r="V102" s="12"/>
      <c r="W102" s="12"/>
      <c r="X102" s="12">
        <v>2</v>
      </c>
      <c r="Y102" s="12">
        <v>2</v>
      </c>
      <c r="Z102" s="12">
        <v>2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 t="s">
        <v>53</v>
      </c>
      <c r="AJ102" s="12"/>
      <c r="AK102" s="16"/>
    </row>
    <row r="103" spans="1:37" x14ac:dyDescent="0.25">
      <c r="A103" s="17" t="s">
        <v>196</v>
      </c>
      <c r="B103" s="17">
        <v>63</v>
      </c>
      <c r="C103" s="17">
        <v>6</v>
      </c>
      <c r="D103" s="28">
        <v>42894</v>
      </c>
      <c r="E103" s="19">
        <f>[1]!Tabela1[[#This Row],[PSA]]/[1]!Tabela1[[#This Row],[MRI vol]]</f>
        <v>0.2</v>
      </c>
      <c r="F103" s="17"/>
      <c r="G103" s="17"/>
      <c r="H103" s="17">
        <v>30</v>
      </c>
      <c r="I103" s="17">
        <v>5</v>
      </c>
      <c r="J103" s="17"/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15</v>
      </c>
      <c r="R103" s="20">
        <v>0</v>
      </c>
      <c r="S103" s="17"/>
      <c r="T103" s="17"/>
      <c r="U103" s="20">
        <v>1</v>
      </c>
      <c r="V103" s="17"/>
      <c r="W103" s="17"/>
      <c r="X103" s="17">
        <v>2</v>
      </c>
      <c r="Y103" s="17">
        <v>2</v>
      </c>
      <c r="Z103" s="17">
        <v>2</v>
      </c>
      <c r="AA103" s="17">
        <v>0</v>
      </c>
      <c r="AB103" s="17">
        <v>0</v>
      </c>
      <c r="AC103" s="17">
        <v>1</v>
      </c>
      <c r="AD103" s="17">
        <v>1</v>
      </c>
      <c r="AE103" s="17">
        <v>1</v>
      </c>
      <c r="AF103" s="17">
        <v>0</v>
      </c>
      <c r="AG103" s="17">
        <v>0</v>
      </c>
      <c r="AH103" s="17">
        <v>0</v>
      </c>
      <c r="AI103" s="17" t="s">
        <v>47</v>
      </c>
      <c r="AJ103" s="17"/>
      <c r="AK103" s="21"/>
    </row>
    <row r="104" spans="1:37" x14ac:dyDescent="0.25">
      <c r="A104" s="12" t="s">
        <v>197</v>
      </c>
      <c r="B104" s="12">
        <v>69</v>
      </c>
      <c r="C104" s="12">
        <v>3</v>
      </c>
      <c r="D104" s="27">
        <v>43035</v>
      </c>
      <c r="E104" s="14">
        <f>[1]!Tabela1[[#This Row],[PSA]]/[1]!Tabela1[[#This Row],[MRI vol]]</f>
        <v>0.06</v>
      </c>
      <c r="F104" s="12"/>
      <c r="G104" s="12"/>
      <c r="H104" s="12">
        <v>50</v>
      </c>
      <c r="I104" s="12">
        <v>4</v>
      </c>
      <c r="J104" s="12"/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14</v>
      </c>
      <c r="R104" s="15">
        <v>1</v>
      </c>
      <c r="S104" s="12"/>
      <c r="T104" s="12"/>
      <c r="U104" s="15">
        <v>1</v>
      </c>
      <c r="V104" s="12"/>
      <c r="W104" s="12"/>
      <c r="X104" s="12">
        <v>1</v>
      </c>
      <c r="Y104" s="12">
        <v>1</v>
      </c>
      <c r="Z104" s="12">
        <v>1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 t="s">
        <v>53</v>
      </c>
      <c r="AJ104" s="12"/>
      <c r="AK104" s="16"/>
    </row>
    <row r="105" spans="1:37" x14ac:dyDescent="0.25">
      <c r="A105" s="17" t="s">
        <v>198</v>
      </c>
      <c r="B105" s="17">
        <v>62</v>
      </c>
      <c r="C105" s="17">
        <v>11</v>
      </c>
      <c r="D105" s="28">
        <v>43203</v>
      </c>
      <c r="E105" s="19">
        <f>[1]!Tabela1[[#This Row],[PSA]]/[1]!Tabela1[[#This Row],[MRI vol]]</f>
        <v>0.3235294117647059</v>
      </c>
      <c r="F105" s="17"/>
      <c r="G105" s="17"/>
      <c r="H105" s="17">
        <v>34</v>
      </c>
      <c r="I105" s="17">
        <v>4</v>
      </c>
      <c r="J105" s="17"/>
      <c r="K105" s="20">
        <v>1</v>
      </c>
      <c r="L105" s="20">
        <v>0</v>
      </c>
      <c r="M105" s="20">
        <v>1</v>
      </c>
      <c r="N105" s="20">
        <v>0</v>
      </c>
      <c r="O105" s="20">
        <v>0</v>
      </c>
      <c r="P105" s="20">
        <v>0</v>
      </c>
      <c r="Q105" s="20">
        <v>14</v>
      </c>
      <c r="R105" s="20">
        <v>1</v>
      </c>
      <c r="S105" s="17"/>
      <c r="T105" s="17"/>
      <c r="U105" s="20">
        <v>0</v>
      </c>
      <c r="V105" s="17"/>
      <c r="W105" s="17"/>
      <c r="X105" s="17">
        <v>3</v>
      </c>
      <c r="Y105" s="17">
        <v>3</v>
      </c>
      <c r="Z105" s="17">
        <v>0</v>
      </c>
      <c r="AA105" s="17">
        <v>0</v>
      </c>
      <c r="AB105" s="17">
        <v>0</v>
      </c>
      <c r="AC105" s="17">
        <v>1</v>
      </c>
      <c r="AD105" s="17">
        <v>0</v>
      </c>
      <c r="AE105" s="17">
        <v>1</v>
      </c>
      <c r="AF105" s="17">
        <v>0</v>
      </c>
      <c r="AG105" s="17">
        <v>0</v>
      </c>
      <c r="AH105" s="17">
        <v>0</v>
      </c>
      <c r="AI105" s="17" t="s">
        <v>47</v>
      </c>
      <c r="AJ105" s="17"/>
      <c r="AK105" s="21"/>
    </row>
    <row r="106" spans="1:37" x14ac:dyDescent="0.25">
      <c r="A106" s="12" t="s">
        <v>199</v>
      </c>
      <c r="B106" s="12">
        <v>67</v>
      </c>
      <c r="C106" s="12">
        <v>6.6</v>
      </c>
      <c r="D106" s="27">
        <v>43122</v>
      </c>
      <c r="E106" s="14">
        <f>[1]!Tabela1[[#This Row],[PSA]]/[1]!Tabela1[[#This Row],[MRI vol]]</f>
        <v>0.15348837209302324</v>
      </c>
      <c r="F106" s="12"/>
      <c r="G106" s="12"/>
      <c r="H106" s="12">
        <v>43</v>
      </c>
      <c r="I106" s="12">
        <v>5</v>
      </c>
      <c r="J106" s="12"/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24</v>
      </c>
      <c r="R106" s="15">
        <v>0</v>
      </c>
      <c r="S106" s="12"/>
      <c r="T106" s="12"/>
      <c r="U106" s="15">
        <v>2</v>
      </c>
      <c r="V106" s="12"/>
      <c r="W106" s="12"/>
      <c r="X106" s="12">
        <v>2</v>
      </c>
      <c r="Y106" s="12">
        <v>2</v>
      </c>
      <c r="Z106" s="12">
        <v>1</v>
      </c>
      <c r="AA106" s="12">
        <v>0</v>
      </c>
      <c r="AB106" s="12">
        <v>0</v>
      </c>
      <c r="AC106" s="12">
        <v>1</v>
      </c>
      <c r="AD106" s="12">
        <v>0</v>
      </c>
      <c r="AE106" s="12">
        <v>1</v>
      </c>
      <c r="AF106" s="12">
        <v>0</v>
      </c>
      <c r="AG106" s="12">
        <v>0</v>
      </c>
      <c r="AH106" s="12">
        <v>0</v>
      </c>
      <c r="AI106" s="12" t="s">
        <v>47</v>
      </c>
      <c r="AJ106" s="12"/>
      <c r="AK106" s="16"/>
    </row>
    <row r="107" spans="1:37" x14ac:dyDescent="0.25">
      <c r="A107" s="17" t="s">
        <v>200</v>
      </c>
      <c r="B107" s="17">
        <v>71</v>
      </c>
      <c r="C107" s="17">
        <v>12.9</v>
      </c>
      <c r="D107" s="28">
        <v>43535</v>
      </c>
      <c r="E107" s="19">
        <f>[1]!Tabela1[[#This Row],[PSA]]/[1]!Tabela1[[#This Row],[MRI vol]]</f>
        <v>0.40312500000000001</v>
      </c>
      <c r="F107" s="17"/>
      <c r="G107" s="17"/>
      <c r="H107" s="17">
        <v>32</v>
      </c>
      <c r="I107" s="17">
        <v>4</v>
      </c>
      <c r="J107" s="17"/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12</v>
      </c>
      <c r="R107" s="20">
        <v>3</v>
      </c>
      <c r="S107" s="17"/>
      <c r="T107" s="17"/>
      <c r="U107" s="20">
        <v>0</v>
      </c>
      <c r="V107" s="17"/>
      <c r="W107" s="17"/>
      <c r="X107" s="17">
        <v>4</v>
      </c>
      <c r="Y107" s="17">
        <v>4</v>
      </c>
      <c r="Z107" s="17">
        <v>4</v>
      </c>
      <c r="AA107" s="17">
        <v>0</v>
      </c>
      <c r="AB107" s="17">
        <v>1</v>
      </c>
      <c r="AC107" s="17">
        <v>0</v>
      </c>
      <c r="AD107" s="17">
        <v>0</v>
      </c>
      <c r="AE107" s="17">
        <v>0</v>
      </c>
      <c r="AF107" s="17">
        <v>1</v>
      </c>
      <c r="AG107" s="17">
        <v>0</v>
      </c>
      <c r="AH107" s="17">
        <v>1</v>
      </c>
      <c r="AI107" s="17" t="s">
        <v>72</v>
      </c>
      <c r="AJ107" s="17"/>
      <c r="AK107" s="21"/>
    </row>
    <row r="108" spans="1:37" x14ac:dyDescent="0.25">
      <c r="A108" s="12" t="s">
        <v>201</v>
      </c>
      <c r="B108" s="12">
        <v>65</v>
      </c>
      <c r="C108" s="12">
        <v>21</v>
      </c>
      <c r="D108" s="27">
        <v>42803</v>
      </c>
      <c r="E108" s="14">
        <f>[1]!Tabela1[[#This Row],[PSA]]/[1]!Tabela1[[#This Row],[MRI vol]]</f>
        <v>0.5</v>
      </c>
      <c r="F108" s="12"/>
      <c r="G108" s="12"/>
      <c r="H108" s="12">
        <v>42</v>
      </c>
      <c r="I108" s="12">
        <v>4</v>
      </c>
      <c r="J108" s="12"/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10</v>
      </c>
      <c r="R108" s="15">
        <v>1</v>
      </c>
      <c r="S108" s="12"/>
      <c r="T108" s="12"/>
      <c r="U108" s="15">
        <v>0</v>
      </c>
      <c r="V108" s="12"/>
      <c r="W108" s="12"/>
      <c r="X108" s="12">
        <v>2</v>
      </c>
      <c r="Y108" s="12">
        <v>2</v>
      </c>
      <c r="Z108" s="12">
        <v>2</v>
      </c>
      <c r="AA108" s="12">
        <v>0</v>
      </c>
      <c r="AB108" s="12">
        <v>0</v>
      </c>
      <c r="AC108" s="12">
        <v>1</v>
      </c>
      <c r="AD108" s="12">
        <v>0</v>
      </c>
      <c r="AE108" s="12">
        <v>1</v>
      </c>
      <c r="AF108" s="12">
        <v>1</v>
      </c>
      <c r="AG108" s="12">
        <v>0</v>
      </c>
      <c r="AH108" s="12">
        <v>1</v>
      </c>
      <c r="AI108" s="12" t="s">
        <v>72</v>
      </c>
      <c r="AJ108" s="12"/>
      <c r="AK108" s="16"/>
    </row>
    <row r="109" spans="1:37" x14ac:dyDescent="0.25">
      <c r="A109" s="17" t="s">
        <v>202</v>
      </c>
      <c r="B109" s="17">
        <v>69</v>
      </c>
      <c r="C109" s="17">
        <v>2.8</v>
      </c>
      <c r="D109" s="28">
        <v>44140</v>
      </c>
      <c r="E109" s="19">
        <f>[1]!Tabela1[[#This Row],[PSA]]/[1]!Tabela1[[#This Row],[MRI vol]]</f>
        <v>9.3333333333333324E-2</v>
      </c>
      <c r="F109" s="17"/>
      <c r="G109" s="17"/>
      <c r="H109" s="17">
        <v>30</v>
      </c>
      <c r="I109" s="17">
        <v>4</v>
      </c>
      <c r="J109" s="17"/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10</v>
      </c>
      <c r="R109" s="20">
        <v>2</v>
      </c>
      <c r="S109" s="17"/>
      <c r="T109" s="17"/>
      <c r="U109" s="20">
        <v>0</v>
      </c>
      <c r="V109" s="17"/>
      <c r="W109" s="17"/>
      <c r="X109" s="17">
        <v>2</v>
      </c>
      <c r="Y109" s="17">
        <v>2</v>
      </c>
      <c r="Z109" s="17">
        <v>2</v>
      </c>
      <c r="AA109" s="17">
        <v>0</v>
      </c>
      <c r="AB109" s="17">
        <v>0</v>
      </c>
      <c r="AC109" s="17">
        <v>0</v>
      </c>
      <c r="AD109" s="17">
        <v>0</v>
      </c>
      <c r="AE109" s="17">
        <v>0</v>
      </c>
      <c r="AF109" s="17">
        <v>0</v>
      </c>
      <c r="AG109" s="17">
        <v>0</v>
      </c>
      <c r="AH109" s="17">
        <v>0</v>
      </c>
      <c r="AI109" s="17" t="s">
        <v>53</v>
      </c>
      <c r="AJ109" s="17"/>
      <c r="AK109" s="21"/>
    </row>
    <row r="110" spans="1:37" x14ac:dyDescent="0.25">
      <c r="A110" s="12" t="s">
        <v>203</v>
      </c>
      <c r="B110" s="12">
        <v>64</v>
      </c>
      <c r="C110" s="12">
        <v>10</v>
      </c>
      <c r="D110" s="27">
        <v>43182</v>
      </c>
      <c r="E110" s="14">
        <f>[1]!Tabela1[[#This Row],[PSA]]/[1]!Tabela1[[#This Row],[MRI vol]]</f>
        <v>0.14925373134328357</v>
      </c>
      <c r="F110" s="12"/>
      <c r="G110" s="12"/>
      <c r="H110" s="12">
        <v>67</v>
      </c>
      <c r="I110" s="12">
        <v>5</v>
      </c>
      <c r="J110" s="12"/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15</v>
      </c>
      <c r="R110" s="15">
        <v>0</v>
      </c>
      <c r="S110" s="12"/>
      <c r="T110" s="12"/>
      <c r="U110" s="15">
        <v>1</v>
      </c>
      <c r="V110" s="12"/>
      <c r="W110" s="12"/>
      <c r="X110" s="12">
        <v>2</v>
      </c>
      <c r="Y110" s="12">
        <v>2</v>
      </c>
      <c r="Z110" s="12">
        <v>2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 t="s">
        <v>53</v>
      </c>
      <c r="AJ110" s="12"/>
      <c r="AK110" s="16"/>
    </row>
    <row r="111" spans="1:37" x14ac:dyDescent="0.25">
      <c r="A111" s="17" t="s">
        <v>204</v>
      </c>
      <c r="B111" s="17">
        <v>68</v>
      </c>
      <c r="C111" s="17">
        <v>9</v>
      </c>
      <c r="D111" s="28">
        <v>43509</v>
      </c>
      <c r="E111" s="19">
        <f>[1]!Tabela1[[#This Row],[PSA]]/[1]!Tabela1[[#This Row],[MRI vol]]</f>
        <v>0.26470588235294118</v>
      </c>
      <c r="F111" s="17"/>
      <c r="G111" s="17"/>
      <c r="H111" s="17">
        <v>34</v>
      </c>
      <c r="I111" s="17">
        <v>3</v>
      </c>
      <c r="J111" s="17"/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26</v>
      </c>
      <c r="R111" s="20">
        <v>1</v>
      </c>
      <c r="S111" s="17"/>
      <c r="T111" s="17"/>
      <c r="U111" s="20">
        <v>1</v>
      </c>
      <c r="V111" s="17"/>
      <c r="W111" s="17"/>
      <c r="X111" s="17">
        <v>2</v>
      </c>
      <c r="Y111" s="17">
        <v>1</v>
      </c>
      <c r="Z111" s="17">
        <v>2</v>
      </c>
      <c r="AA111" s="17">
        <v>0</v>
      </c>
      <c r="AB111" s="17">
        <v>0</v>
      </c>
      <c r="AC111" s="17">
        <v>0</v>
      </c>
      <c r="AD111" s="17">
        <v>0</v>
      </c>
      <c r="AE111" s="17">
        <v>0</v>
      </c>
      <c r="AF111" s="17">
        <v>0</v>
      </c>
      <c r="AG111" s="17">
        <v>0</v>
      </c>
      <c r="AH111" s="17">
        <v>0</v>
      </c>
      <c r="AI111" s="17" t="s">
        <v>53</v>
      </c>
      <c r="AJ111" s="17"/>
      <c r="AK111" s="21"/>
    </row>
    <row r="112" spans="1:37" x14ac:dyDescent="0.25">
      <c r="A112" s="12" t="s">
        <v>205</v>
      </c>
      <c r="B112" s="12">
        <v>67</v>
      </c>
      <c r="C112" s="12">
        <v>6.2</v>
      </c>
      <c r="D112" s="27">
        <v>42333</v>
      </c>
      <c r="E112" s="14">
        <f>[1]!Tabela1[[#This Row],[PSA]]/[1]!Tabela1[[#This Row],[MRI vol]]</f>
        <v>0.34444444444444444</v>
      </c>
      <c r="F112" s="12"/>
      <c r="G112" s="12"/>
      <c r="H112" s="12">
        <v>18</v>
      </c>
      <c r="I112" s="12">
        <v>4</v>
      </c>
      <c r="J112" s="12"/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8</v>
      </c>
      <c r="R112" s="15">
        <v>2</v>
      </c>
      <c r="S112" s="12"/>
      <c r="T112" s="12"/>
      <c r="U112" s="15">
        <v>0</v>
      </c>
      <c r="V112" s="12"/>
      <c r="W112" s="12"/>
      <c r="X112" s="12">
        <v>3</v>
      </c>
      <c r="Y112" s="12">
        <v>3</v>
      </c>
      <c r="Z112" s="12">
        <v>3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 t="s">
        <v>53</v>
      </c>
      <c r="AJ112" s="12"/>
      <c r="AK112" s="16"/>
    </row>
    <row r="113" spans="1:37" x14ac:dyDescent="0.25">
      <c r="A113" s="17" t="s">
        <v>206</v>
      </c>
      <c r="B113" s="17">
        <v>61</v>
      </c>
      <c r="C113" s="17">
        <v>3.9</v>
      </c>
      <c r="D113" s="28">
        <v>43236</v>
      </c>
      <c r="E113" s="19">
        <f>[1]!Tabela1[[#This Row],[PSA]]/[1]!Tabela1[[#This Row],[MRI vol]]</f>
        <v>0.12580645161290321</v>
      </c>
      <c r="F113" s="17"/>
      <c r="G113" s="17"/>
      <c r="H113" s="17">
        <v>31</v>
      </c>
      <c r="I113" s="17">
        <v>4</v>
      </c>
      <c r="J113" s="17"/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12</v>
      </c>
      <c r="R113" s="20">
        <v>1</v>
      </c>
      <c r="S113" s="17"/>
      <c r="T113" s="17"/>
      <c r="U113" s="20">
        <v>1</v>
      </c>
      <c r="V113" s="17"/>
      <c r="W113" s="17"/>
      <c r="X113" s="17">
        <v>2</v>
      </c>
      <c r="Y113" s="17">
        <v>2</v>
      </c>
      <c r="Z113" s="17">
        <v>2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 t="s">
        <v>53</v>
      </c>
      <c r="AJ113" s="17"/>
      <c r="AK113" s="21"/>
    </row>
    <row r="114" spans="1:37" x14ac:dyDescent="0.25">
      <c r="A114" s="12" t="s">
        <v>207</v>
      </c>
      <c r="B114" s="12">
        <v>61</v>
      </c>
      <c r="C114" s="12">
        <v>6.1</v>
      </c>
      <c r="D114" s="27">
        <v>43452</v>
      </c>
      <c r="E114" s="14">
        <f>[1]!Tabela1[[#This Row],[PSA]]/[1]!Tabela1[[#This Row],[MRI vol]]</f>
        <v>0.19062499999999999</v>
      </c>
      <c r="F114" s="12"/>
      <c r="G114" s="12"/>
      <c r="H114" s="12">
        <v>32</v>
      </c>
      <c r="I114" s="12">
        <v>5</v>
      </c>
      <c r="J114" s="12"/>
      <c r="K114" s="15">
        <v>1</v>
      </c>
      <c r="L114" s="15">
        <v>0</v>
      </c>
      <c r="M114" s="15">
        <v>1</v>
      </c>
      <c r="N114" s="15">
        <v>0</v>
      </c>
      <c r="O114" s="15">
        <v>0</v>
      </c>
      <c r="P114" s="15">
        <v>0</v>
      </c>
      <c r="Q114" s="15">
        <v>24</v>
      </c>
      <c r="R114" s="15">
        <v>1</v>
      </c>
      <c r="S114" s="12"/>
      <c r="T114" s="12"/>
      <c r="U114" s="15">
        <v>0</v>
      </c>
      <c r="V114" s="12"/>
      <c r="W114" s="12"/>
      <c r="X114" s="12">
        <v>2</v>
      </c>
      <c r="Y114" s="12">
        <v>1</v>
      </c>
      <c r="Z114" s="12">
        <v>2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 t="s">
        <v>53</v>
      </c>
      <c r="AJ114" s="12"/>
      <c r="AK114" s="16"/>
    </row>
    <row r="115" spans="1:37" x14ac:dyDescent="0.25">
      <c r="A115" s="17" t="s">
        <v>208</v>
      </c>
      <c r="B115" s="17">
        <v>68</v>
      </c>
      <c r="C115" s="17">
        <v>5.0999999999999996</v>
      </c>
      <c r="D115" s="28">
        <v>42899</v>
      </c>
      <c r="E115" s="19">
        <f>[1]!Tabela1[[#This Row],[PSA]]/[1]!Tabela1[[#This Row],[MRI vol]]</f>
        <v>0.14166666666666666</v>
      </c>
      <c r="F115" s="17"/>
      <c r="G115" s="17"/>
      <c r="H115" s="17">
        <v>36</v>
      </c>
      <c r="I115" s="17">
        <v>4</v>
      </c>
      <c r="J115" s="17"/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20</v>
      </c>
      <c r="R115" s="20">
        <v>1</v>
      </c>
      <c r="S115" s="17"/>
      <c r="T115" s="17"/>
      <c r="U115" s="20">
        <v>1</v>
      </c>
      <c r="V115" s="17"/>
      <c r="W115" s="17"/>
      <c r="X115" s="17">
        <v>2</v>
      </c>
      <c r="Y115" s="17">
        <v>2</v>
      </c>
      <c r="Z115" s="17">
        <v>2</v>
      </c>
      <c r="AA115" s="17">
        <v>0</v>
      </c>
      <c r="AB115" s="17">
        <v>0</v>
      </c>
      <c r="AC115" s="17">
        <v>0</v>
      </c>
      <c r="AD115" s="17">
        <v>0</v>
      </c>
      <c r="AE115" s="17">
        <v>0</v>
      </c>
      <c r="AF115" s="17">
        <v>0</v>
      </c>
      <c r="AG115" s="17">
        <v>0</v>
      </c>
      <c r="AH115" s="17">
        <v>0</v>
      </c>
      <c r="AI115" s="17" t="s">
        <v>53</v>
      </c>
      <c r="AJ115" s="17"/>
      <c r="AK115" s="21"/>
    </row>
    <row r="116" spans="1:37" x14ac:dyDescent="0.25">
      <c r="A116" s="12" t="s">
        <v>209</v>
      </c>
      <c r="B116" s="12">
        <v>60</v>
      </c>
      <c r="C116" s="12">
        <v>8.3000000000000007</v>
      </c>
      <c r="D116" s="27">
        <v>43385</v>
      </c>
      <c r="E116" s="14">
        <f>[1]!Tabela1[[#This Row],[PSA]]/[1]!Tabela1[[#This Row],[MRI vol]]</f>
        <v>0.27666666666666667</v>
      </c>
      <c r="F116" s="12"/>
      <c r="G116" s="12"/>
      <c r="H116" s="12">
        <v>30</v>
      </c>
      <c r="I116" s="12">
        <v>3</v>
      </c>
      <c r="J116" s="12"/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/>
      <c r="R116" s="15">
        <v>0</v>
      </c>
      <c r="S116" s="12"/>
      <c r="T116" s="12"/>
      <c r="U116" s="15">
        <v>1</v>
      </c>
      <c r="V116" s="12"/>
      <c r="W116" s="12"/>
      <c r="X116" s="12">
        <v>1</v>
      </c>
      <c r="Y116" s="12">
        <v>1</v>
      </c>
      <c r="Z116" s="12">
        <v>1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 t="s">
        <v>53</v>
      </c>
      <c r="AJ116" s="12"/>
      <c r="AK116" s="16"/>
    </row>
    <row r="117" spans="1:37" x14ac:dyDescent="0.25">
      <c r="A117" s="17" t="s">
        <v>210</v>
      </c>
      <c r="B117" s="17">
        <v>77</v>
      </c>
      <c r="C117" s="17">
        <v>2.4</v>
      </c>
      <c r="D117" s="28">
        <v>43508</v>
      </c>
      <c r="E117" s="19">
        <f>[1]!Tabela1[[#This Row],[PSA]]/[1]!Tabela1[[#This Row],[MRI vol]]</f>
        <v>0.08</v>
      </c>
      <c r="F117" s="17"/>
      <c r="G117" s="17"/>
      <c r="H117" s="17">
        <v>30</v>
      </c>
      <c r="I117" s="17">
        <v>5</v>
      </c>
      <c r="J117" s="17"/>
      <c r="K117" s="20">
        <v>1</v>
      </c>
      <c r="L117" s="20">
        <v>0</v>
      </c>
      <c r="M117" s="20">
        <v>1</v>
      </c>
      <c r="N117" s="20">
        <v>0</v>
      </c>
      <c r="O117" s="20">
        <v>0</v>
      </c>
      <c r="P117" s="20">
        <v>0</v>
      </c>
      <c r="Q117" s="20">
        <v>22</v>
      </c>
      <c r="R117" s="20">
        <v>3</v>
      </c>
      <c r="S117" s="17"/>
      <c r="T117" s="17"/>
      <c r="U117" s="20">
        <v>0</v>
      </c>
      <c r="V117" s="17"/>
      <c r="W117" s="17"/>
      <c r="X117" s="17">
        <v>4</v>
      </c>
      <c r="Y117" s="17">
        <v>4</v>
      </c>
      <c r="Z117" s="17">
        <v>4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 t="s">
        <v>53</v>
      </c>
      <c r="AJ117" s="17"/>
      <c r="AK117" s="21"/>
    </row>
    <row r="118" spans="1:37" x14ac:dyDescent="0.25">
      <c r="A118" s="12" t="s">
        <v>211</v>
      </c>
      <c r="B118" s="12">
        <v>72</v>
      </c>
      <c r="C118" s="12">
        <v>5.0999999999999996</v>
      </c>
      <c r="D118" s="27">
        <v>44035</v>
      </c>
      <c r="E118" s="14">
        <f>[1]!Tabela1[[#This Row],[PSA]]/[1]!Tabela1[[#This Row],[MRI vol]]</f>
        <v>0.14571428571428571</v>
      </c>
      <c r="F118" s="12"/>
      <c r="G118" s="12"/>
      <c r="H118" s="12">
        <v>35</v>
      </c>
      <c r="I118" s="12">
        <v>4</v>
      </c>
      <c r="J118" s="12"/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9</v>
      </c>
      <c r="R118" s="15">
        <v>2</v>
      </c>
      <c r="S118" s="12"/>
      <c r="T118" s="12"/>
      <c r="U118" s="15">
        <v>0</v>
      </c>
      <c r="V118" s="12"/>
      <c r="W118" s="12"/>
      <c r="X118" s="12">
        <v>2</v>
      </c>
      <c r="Y118" s="12">
        <v>2</v>
      </c>
      <c r="Z118" s="12">
        <v>2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 t="s">
        <v>182</v>
      </c>
      <c r="AJ118" s="12"/>
      <c r="AK118" s="16"/>
    </row>
    <row r="119" spans="1:37" x14ac:dyDescent="0.25">
      <c r="A119" s="17" t="s">
        <v>212</v>
      </c>
      <c r="B119" s="17">
        <v>60</v>
      </c>
      <c r="C119" s="17">
        <v>7.5</v>
      </c>
      <c r="D119" s="28">
        <v>43174</v>
      </c>
      <c r="E119" s="19">
        <f>[1]!Tabela1[[#This Row],[PSA]]/[1]!Tabela1[[#This Row],[MRI vol]]</f>
        <v>0.21428571428571427</v>
      </c>
      <c r="F119" s="17"/>
      <c r="G119" s="17"/>
      <c r="H119" s="17">
        <v>35</v>
      </c>
      <c r="I119" s="17">
        <v>5</v>
      </c>
      <c r="J119" s="17"/>
      <c r="K119" s="20">
        <v>1</v>
      </c>
      <c r="L119" s="20">
        <v>1</v>
      </c>
      <c r="M119" s="20">
        <v>1</v>
      </c>
      <c r="N119" s="20">
        <v>0</v>
      </c>
      <c r="O119" s="20">
        <v>0</v>
      </c>
      <c r="P119" s="20">
        <v>0</v>
      </c>
      <c r="Q119" s="20">
        <v>19</v>
      </c>
      <c r="R119" s="20">
        <v>1</v>
      </c>
      <c r="S119" s="17"/>
      <c r="T119" s="17"/>
      <c r="U119" s="20">
        <v>1</v>
      </c>
      <c r="V119" s="17"/>
      <c r="W119" s="17"/>
      <c r="X119" s="17">
        <v>3</v>
      </c>
      <c r="Y119" s="17">
        <v>0</v>
      </c>
      <c r="Z119" s="17">
        <v>3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 t="s">
        <v>130</v>
      </c>
      <c r="AJ119" s="17"/>
      <c r="AK119" s="21"/>
    </row>
    <row r="120" spans="1:37" x14ac:dyDescent="0.25">
      <c r="A120" s="12" t="s">
        <v>213</v>
      </c>
      <c r="B120" s="12">
        <v>63</v>
      </c>
      <c r="C120" s="12">
        <v>22</v>
      </c>
      <c r="D120" s="27">
        <v>43059</v>
      </c>
      <c r="E120" s="14">
        <f>[1]!Tabela1[[#This Row],[PSA]]/[1]!Tabela1[[#This Row],[MRI vol]]</f>
        <v>0.32835820895522388</v>
      </c>
      <c r="F120" s="12"/>
      <c r="G120" s="12"/>
      <c r="H120" s="12">
        <v>67</v>
      </c>
      <c r="I120" s="12">
        <v>5</v>
      </c>
      <c r="J120" s="12"/>
      <c r="K120" s="15">
        <v>1</v>
      </c>
      <c r="L120" s="15">
        <v>0</v>
      </c>
      <c r="M120" s="15">
        <v>1</v>
      </c>
      <c r="N120" s="15">
        <v>0</v>
      </c>
      <c r="O120" s="15">
        <v>0</v>
      </c>
      <c r="P120" s="15">
        <v>0</v>
      </c>
      <c r="Q120" s="15">
        <v>21</v>
      </c>
      <c r="R120" s="15">
        <v>1</v>
      </c>
      <c r="S120" s="12"/>
      <c r="T120" s="12"/>
      <c r="U120" s="15">
        <v>0</v>
      </c>
      <c r="V120" s="12"/>
      <c r="W120" s="12"/>
      <c r="X120" s="12">
        <v>1</v>
      </c>
      <c r="Y120" s="12">
        <v>1</v>
      </c>
      <c r="Z120" s="12">
        <v>1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 t="s">
        <v>53</v>
      </c>
      <c r="AJ120" s="12"/>
      <c r="AK120" s="16"/>
    </row>
    <row r="121" spans="1:37" x14ac:dyDescent="0.25">
      <c r="A121" s="17" t="s">
        <v>214</v>
      </c>
      <c r="B121" s="17">
        <v>72</v>
      </c>
      <c r="C121" s="17">
        <v>7</v>
      </c>
      <c r="D121" s="28">
        <v>42454</v>
      </c>
      <c r="E121" s="19">
        <f>[1]!Tabela1[[#This Row],[PSA]]/[1]!Tabela1[[#This Row],[MRI vol]]</f>
        <v>0.12962962962962962</v>
      </c>
      <c r="F121" s="17"/>
      <c r="G121" s="17"/>
      <c r="H121" s="17">
        <v>54</v>
      </c>
      <c r="I121" s="17">
        <v>4</v>
      </c>
      <c r="J121" s="17"/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15</v>
      </c>
      <c r="R121" s="20">
        <v>1</v>
      </c>
      <c r="S121" s="17"/>
      <c r="T121" s="17"/>
      <c r="U121" s="20">
        <v>1</v>
      </c>
      <c r="V121" s="17"/>
      <c r="W121" s="17"/>
      <c r="X121" s="17">
        <v>1</v>
      </c>
      <c r="Y121" s="17">
        <v>1</v>
      </c>
      <c r="Z121" s="17">
        <v>1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7">
        <v>0</v>
      </c>
      <c r="AG121" s="17">
        <v>0</v>
      </c>
      <c r="AH121" s="17">
        <v>0</v>
      </c>
      <c r="AI121" s="17" t="s">
        <v>53</v>
      </c>
      <c r="AJ121" s="17"/>
      <c r="AK121" s="21"/>
    </row>
    <row r="122" spans="1:37" x14ac:dyDescent="0.25">
      <c r="A122" s="12" t="s">
        <v>215</v>
      </c>
      <c r="B122" s="12">
        <v>61</v>
      </c>
      <c r="C122" s="12">
        <v>3.7</v>
      </c>
      <c r="D122" s="27">
        <v>42552</v>
      </c>
      <c r="E122" s="14">
        <f>[1]!Tabela1[[#This Row],[PSA]]/[1]!Tabela1[[#This Row],[MRI vol]]</f>
        <v>9.736842105263159E-2</v>
      </c>
      <c r="F122" s="12"/>
      <c r="G122" s="12"/>
      <c r="H122" s="12">
        <v>38</v>
      </c>
      <c r="I122" s="12">
        <v>4</v>
      </c>
      <c r="J122" s="12"/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13</v>
      </c>
      <c r="R122" s="15">
        <v>1</v>
      </c>
      <c r="S122" s="12"/>
      <c r="T122" s="12"/>
      <c r="U122" s="15">
        <v>0</v>
      </c>
      <c r="V122" s="12"/>
      <c r="W122" s="12"/>
      <c r="X122" s="12">
        <v>2</v>
      </c>
      <c r="Y122" s="12">
        <v>2</v>
      </c>
      <c r="Z122" s="12">
        <v>2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 t="s">
        <v>53</v>
      </c>
      <c r="AJ122" s="12"/>
      <c r="AK122" s="16"/>
    </row>
    <row r="123" spans="1:37" x14ac:dyDescent="0.25">
      <c r="A123" s="17" t="s">
        <v>216</v>
      </c>
      <c r="B123" s="17">
        <v>55</v>
      </c>
      <c r="C123" s="17">
        <v>10.8</v>
      </c>
      <c r="D123" s="28">
        <v>42613</v>
      </c>
      <c r="E123" s="19">
        <f>[1]!Tabela1[[#This Row],[PSA]]/[1]!Tabela1[[#This Row],[MRI vol]]</f>
        <v>0.27692307692307694</v>
      </c>
      <c r="F123" s="17"/>
      <c r="G123" s="17"/>
      <c r="H123" s="17">
        <v>39</v>
      </c>
      <c r="I123" s="17">
        <v>5</v>
      </c>
      <c r="J123" s="17"/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12</v>
      </c>
      <c r="R123" s="20">
        <v>0</v>
      </c>
      <c r="S123" s="17"/>
      <c r="T123" s="17"/>
      <c r="U123" s="20">
        <v>1</v>
      </c>
      <c r="V123" s="17"/>
      <c r="W123" s="17"/>
      <c r="X123" s="17">
        <v>1</v>
      </c>
      <c r="Y123" s="17">
        <v>1</v>
      </c>
      <c r="Z123" s="17">
        <v>1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 t="s">
        <v>53</v>
      </c>
      <c r="AJ123" s="17"/>
      <c r="AK123" s="21"/>
    </row>
    <row r="124" spans="1:37" x14ac:dyDescent="0.25">
      <c r="A124" s="12" t="s">
        <v>217</v>
      </c>
      <c r="B124" s="12">
        <v>69</v>
      </c>
      <c r="C124" s="12">
        <v>7</v>
      </c>
      <c r="D124" s="27">
        <v>42786</v>
      </c>
      <c r="E124" s="14">
        <f>[1]!Tabela1[[#This Row],[PSA]]/[1]!Tabela1[[#This Row],[MRI vol]]</f>
        <v>7.7777777777777779E-2</v>
      </c>
      <c r="F124" s="12"/>
      <c r="G124" s="12"/>
      <c r="H124" s="12">
        <v>90</v>
      </c>
      <c r="I124" s="12">
        <v>5</v>
      </c>
      <c r="J124" s="12"/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21</v>
      </c>
      <c r="R124" s="15">
        <v>1</v>
      </c>
      <c r="S124" s="12"/>
      <c r="T124" s="12"/>
      <c r="U124" s="15">
        <v>0</v>
      </c>
      <c r="V124" s="12"/>
      <c r="W124" s="12"/>
      <c r="X124" s="12">
        <v>3</v>
      </c>
      <c r="Y124" s="12">
        <v>3</v>
      </c>
      <c r="Z124" s="12">
        <v>3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 t="s">
        <v>53</v>
      </c>
      <c r="AJ124" s="12"/>
      <c r="AK124" s="16"/>
    </row>
    <row r="125" spans="1:37" x14ac:dyDescent="0.25">
      <c r="A125" s="17" t="s">
        <v>218</v>
      </c>
      <c r="B125" s="17">
        <v>67</v>
      </c>
      <c r="C125" s="17">
        <v>14.5</v>
      </c>
      <c r="D125" s="28">
        <v>42703</v>
      </c>
      <c r="E125" s="19">
        <f>[1]!Tabela1[[#This Row],[PSA]]/[1]!Tabela1[[#This Row],[MRI vol]]</f>
        <v>0.53703703703703709</v>
      </c>
      <c r="F125" s="17"/>
      <c r="G125" s="17"/>
      <c r="H125" s="17">
        <v>27</v>
      </c>
      <c r="I125" s="17">
        <v>5</v>
      </c>
      <c r="J125" s="17"/>
      <c r="K125" s="20">
        <v>1</v>
      </c>
      <c r="L125" s="20">
        <v>0</v>
      </c>
      <c r="M125" s="20">
        <v>1</v>
      </c>
      <c r="N125" s="20">
        <v>1</v>
      </c>
      <c r="O125" s="20">
        <v>0</v>
      </c>
      <c r="P125" s="20">
        <v>1</v>
      </c>
      <c r="Q125" s="20">
        <v>26</v>
      </c>
      <c r="R125" s="20">
        <v>4</v>
      </c>
      <c r="S125" s="17"/>
      <c r="T125" s="17"/>
      <c r="U125" s="20">
        <v>4</v>
      </c>
      <c r="V125" s="17"/>
      <c r="W125" s="17"/>
      <c r="X125" s="17">
        <v>3</v>
      </c>
      <c r="Y125" s="17">
        <v>3</v>
      </c>
      <c r="Z125" s="17">
        <v>3</v>
      </c>
      <c r="AA125" s="17">
        <v>1</v>
      </c>
      <c r="AB125" s="17">
        <v>0</v>
      </c>
      <c r="AC125" s="17">
        <v>1</v>
      </c>
      <c r="AD125" s="17">
        <v>0</v>
      </c>
      <c r="AE125" s="17">
        <v>1</v>
      </c>
      <c r="AF125" s="17">
        <v>1</v>
      </c>
      <c r="AG125" s="17">
        <v>0</v>
      </c>
      <c r="AH125" s="17">
        <v>1</v>
      </c>
      <c r="AI125" s="17" t="s">
        <v>72</v>
      </c>
      <c r="AJ125" s="17"/>
      <c r="AK125" s="21"/>
    </row>
    <row r="126" spans="1:37" x14ac:dyDescent="0.25">
      <c r="A126" s="12" t="s">
        <v>219</v>
      </c>
      <c r="B126" s="12">
        <v>63</v>
      </c>
      <c r="C126" s="12">
        <v>18</v>
      </c>
      <c r="D126" s="27">
        <v>43790</v>
      </c>
      <c r="E126" s="14">
        <f>[1]!Tabela1[[#This Row],[PSA]]/[1]!Tabela1[[#This Row],[MRI vol]]</f>
        <v>0.45</v>
      </c>
      <c r="F126" s="12"/>
      <c r="G126" s="12"/>
      <c r="H126" s="12">
        <v>40</v>
      </c>
      <c r="I126" s="12">
        <v>5</v>
      </c>
      <c r="J126" s="12"/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25</v>
      </c>
      <c r="R126" s="15">
        <v>2</v>
      </c>
      <c r="S126" s="12"/>
      <c r="T126" s="12"/>
      <c r="U126" s="15">
        <v>4</v>
      </c>
      <c r="V126" s="12"/>
      <c r="W126" s="12"/>
      <c r="X126" s="12">
        <v>4</v>
      </c>
      <c r="Y126" s="12">
        <v>4</v>
      </c>
      <c r="Z126" s="12">
        <v>3</v>
      </c>
      <c r="AA126" s="12">
        <v>0</v>
      </c>
      <c r="AB126" s="12">
        <v>0</v>
      </c>
      <c r="AC126" s="12">
        <v>1</v>
      </c>
      <c r="AD126" s="12">
        <v>1</v>
      </c>
      <c r="AE126" s="12">
        <v>1</v>
      </c>
      <c r="AF126" s="12">
        <v>0</v>
      </c>
      <c r="AG126" s="12">
        <v>0</v>
      </c>
      <c r="AH126" s="12">
        <v>0</v>
      </c>
      <c r="AI126" s="12" t="s">
        <v>47</v>
      </c>
      <c r="AJ126" s="12"/>
      <c r="AK126" s="16"/>
    </row>
    <row r="127" spans="1:37" x14ac:dyDescent="0.25">
      <c r="A127" s="17" t="s">
        <v>220</v>
      </c>
      <c r="B127" s="17">
        <v>69</v>
      </c>
      <c r="C127" s="17">
        <v>60</v>
      </c>
      <c r="D127" s="28">
        <v>42626</v>
      </c>
      <c r="E127" s="19">
        <f>[1]!Tabela1[[#This Row],[PSA]]/[1]!Tabela1[[#This Row],[MRI vol]]</f>
        <v>1.1320754716981132</v>
      </c>
      <c r="F127" s="17"/>
      <c r="G127" s="17"/>
      <c r="H127" s="17">
        <v>53</v>
      </c>
      <c r="I127" s="17">
        <v>4</v>
      </c>
      <c r="J127" s="17"/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11</v>
      </c>
      <c r="R127" s="20">
        <v>1</v>
      </c>
      <c r="S127" s="17"/>
      <c r="T127" s="17"/>
      <c r="U127" s="20">
        <v>2</v>
      </c>
      <c r="V127" s="17"/>
      <c r="W127" s="17"/>
      <c r="X127" s="17">
        <v>2</v>
      </c>
      <c r="Y127" s="17">
        <v>2</v>
      </c>
      <c r="Z127" s="17">
        <v>2</v>
      </c>
      <c r="AA127" s="17">
        <v>0</v>
      </c>
      <c r="AB127" s="17">
        <v>0</v>
      </c>
      <c r="AC127" s="17">
        <v>0</v>
      </c>
      <c r="AD127" s="17">
        <v>0</v>
      </c>
      <c r="AE127" s="17">
        <v>0</v>
      </c>
      <c r="AF127" s="17">
        <v>0</v>
      </c>
      <c r="AG127" s="17">
        <v>0</v>
      </c>
      <c r="AH127" s="17">
        <v>0</v>
      </c>
      <c r="AI127" s="17" t="s">
        <v>53</v>
      </c>
      <c r="AJ127" s="17"/>
      <c r="AK127" s="21"/>
    </row>
    <row r="128" spans="1:37" x14ac:dyDescent="0.25">
      <c r="A128" s="12" t="s">
        <v>221</v>
      </c>
      <c r="B128" s="12">
        <v>61</v>
      </c>
      <c r="C128" s="12">
        <v>27.8</v>
      </c>
      <c r="D128" s="27">
        <v>42396</v>
      </c>
      <c r="E128" s="14">
        <f>[1]!Tabela1[[#This Row],[PSA]]/[1]!Tabela1[[#This Row],[MRI vol]]</f>
        <v>0.92666666666666664</v>
      </c>
      <c r="F128" s="12"/>
      <c r="G128" s="12"/>
      <c r="H128" s="12">
        <v>30</v>
      </c>
      <c r="I128" s="12">
        <v>5</v>
      </c>
      <c r="J128" s="12"/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16</v>
      </c>
      <c r="R128" s="15">
        <v>2</v>
      </c>
      <c r="S128" s="12"/>
      <c r="T128" s="12"/>
      <c r="U128" s="15">
        <v>4</v>
      </c>
      <c r="V128" s="12"/>
      <c r="W128" s="12"/>
      <c r="X128" s="12">
        <v>5</v>
      </c>
      <c r="Y128" s="12">
        <v>5</v>
      </c>
      <c r="Z128" s="12">
        <v>5</v>
      </c>
      <c r="AA128" s="12">
        <v>0</v>
      </c>
      <c r="AB128" s="12">
        <v>1</v>
      </c>
      <c r="AC128" s="12">
        <v>1</v>
      </c>
      <c r="AD128" s="12">
        <v>0</v>
      </c>
      <c r="AE128" s="12">
        <v>1</v>
      </c>
      <c r="AF128" s="12">
        <v>0</v>
      </c>
      <c r="AG128" s="12">
        <v>0</v>
      </c>
      <c r="AH128" s="12">
        <v>0</v>
      </c>
      <c r="AI128" s="12" t="s">
        <v>47</v>
      </c>
      <c r="AJ128" s="12"/>
      <c r="AK128" s="16"/>
    </row>
    <row r="129" spans="1:37" x14ac:dyDescent="0.25">
      <c r="A129" s="17" t="s">
        <v>222</v>
      </c>
      <c r="B129" s="17">
        <v>70</v>
      </c>
      <c r="C129" s="17">
        <v>9.3000000000000007</v>
      </c>
      <c r="D129" s="28">
        <v>44125</v>
      </c>
      <c r="E129" s="19">
        <f>[1]!Tabela1[[#This Row],[PSA]]/[1]!Tabela1[[#This Row],[MRI vol]]</f>
        <v>0.19787234042553192</v>
      </c>
      <c r="F129" s="17"/>
      <c r="G129" s="17"/>
      <c r="H129" s="17">
        <v>47</v>
      </c>
      <c r="I129" s="17">
        <v>5</v>
      </c>
      <c r="J129" s="17"/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22</v>
      </c>
      <c r="R129" s="20">
        <v>0</v>
      </c>
      <c r="S129" s="17"/>
      <c r="T129" s="17"/>
      <c r="U129" s="20">
        <v>3</v>
      </c>
      <c r="V129" s="17"/>
      <c r="W129" s="17"/>
      <c r="X129" s="17">
        <v>3</v>
      </c>
      <c r="Y129" s="17">
        <v>3</v>
      </c>
      <c r="Z129" s="17">
        <v>3</v>
      </c>
      <c r="AA129" s="17">
        <v>0</v>
      </c>
      <c r="AB129" s="17">
        <v>0</v>
      </c>
      <c r="AC129" s="17">
        <v>1</v>
      </c>
      <c r="AD129" s="17">
        <v>1</v>
      </c>
      <c r="AE129" s="17">
        <v>1</v>
      </c>
      <c r="AF129" s="17">
        <v>0</v>
      </c>
      <c r="AG129" s="17">
        <v>0</v>
      </c>
      <c r="AH129" s="17">
        <v>0</v>
      </c>
      <c r="AI129" s="17" t="s">
        <v>47</v>
      </c>
      <c r="AJ129" s="17"/>
      <c r="AK129" s="21"/>
    </row>
    <row r="130" spans="1:37" x14ac:dyDescent="0.25">
      <c r="A130" s="12" t="s">
        <v>223</v>
      </c>
      <c r="B130" s="12">
        <v>64</v>
      </c>
      <c r="C130" s="12">
        <v>5.3</v>
      </c>
      <c r="D130" s="27">
        <v>43258</v>
      </c>
      <c r="E130" s="14">
        <f>[1]!Tabela1[[#This Row],[PSA]]/[1]!Tabela1[[#This Row],[MRI vol]]</f>
        <v>0.1962962962962963</v>
      </c>
      <c r="F130" s="12"/>
      <c r="G130" s="12"/>
      <c r="H130" s="12">
        <v>27</v>
      </c>
      <c r="I130" s="12">
        <v>4</v>
      </c>
      <c r="J130" s="12"/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7</v>
      </c>
      <c r="R130" s="15">
        <v>2</v>
      </c>
      <c r="S130" s="12"/>
      <c r="T130" s="12"/>
      <c r="U130" s="15">
        <v>0</v>
      </c>
      <c r="V130" s="12"/>
      <c r="W130" s="12"/>
      <c r="X130" s="12">
        <v>2</v>
      </c>
      <c r="Y130" s="12">
        <v>2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 t="s">
        <v>130</v>
      </c>
      <c r="AJ130" s="12"/>
      <c r="AK130" s="16"/>
    </row>
    <row r="131" spans="1:37" x14ac:dyDescent="0.25">
      <c r="A131" s="17" t="s">
        <v>224</v>
      </c>
      <c r="B131" s="17">
        <v>54</v>
      </c>
      <c r="C131" s="17">
        <v>8.6</v>
      </c>
      <c r="D131" s="28">
        <v>43118</v>
      </c>
      <c r="E131" s="19">
        <f>[1]!Tabela1[[#This Row],[PSA]]/[1]!Tabela1[[#This Row],[MRI vol]]</f>
        <v>0.23243243243243242</v>
      </c>
      <c r="F131" s="17"/>
      <c r="G131" s="17"/>
      <c r="H131" s="17">
        <v>37</v>
      </c>
      <c r="I131" s="17">
        <v>4</v>
      </c>
      <c r="J131" s="17"/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4</v>
      </c>
      <c r="R131" s="20">
        <v>1</v>
      </c>
      <c r="S131" s="17"/>
      <c r="T131" s="17"/>
      <c r="U131" s="20">
        <v>0</v>
      </c>
      <c r="V131" s="17"/>
      <c r="W131" s="17"/>
      <c r="X131" s="17">
        <v>2</v>
      </c>
      <c r="Y131" s="17">
        <v>2</v>
      </c>
      <c r="Z131" s="17">
        <v>2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 t="s">
        <v>53</v>
      </c>
      <c r="AJ131" s="17"/>
      <c r="AK131" s="21"/>
    </row>
    <row r="132" spans="1:37" x14ac:dyDescent="0.25">
      <c r="A132" s="12" t="s">
        <v>225</v>
      </c>
      <c r="B132" s="12">
        <v>66</v>
      </c>
      <c r="C132" s="12">
        <v>9.1</v>
      </c>
      <c r="D132" s="27">
        <v>43279</v>
      </c>
      <c r="E132" s="14">
        <f>[1]!Tabela1[[#This Row],[PSA]]/[1]!Tabela1[[#This Row],[MRI vol]]</f>
        <v>0.7583333333333333</v>
      </c>
      <c r="F132" s="12"/>
      <c r="G132" s="12"/>
      <c r="H132" s="12">
        <v>12</v>
      </c>
      <c r="I132" s="12">
        <v>2</v>
      </c>
      <c r="J132" s="12"/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10</v>
      </c>
      <c r="R132" s="15">
        <v>2</v>
      </c>
      <c r="S132" s="12"/>
      <c r="T132" s="12"/>
      <c r="U132" s="15">
        <v>2</v>
      </c>
      <c r="V132" s="12"/>
      <c r="W132" s="12"/>
      <c r="X132" s="12">
        <v>2</v>
      </c>
      <c r="Y132" s="12">
        <v>2</v>
      </c>
      <c r="Z132" s="12">
        <v>2</v>
      </c>
      <c r="AA132" s="12">
        <v>0</v>
      </c>
      <c r="AB132" s="12">
        <v>0</v>
      </c>
      <c r="AC132" s="12">
        <v>1</v>
      </c>
      <c r="AD132" s="12">
        <v>1</v>
      </c>
      <c r="AE132" s="12">
        <v>0</v>
      </c>
      <c r="AF132" s="12">
        <v>1</v>
      </c>
      <c r="AG132" s="12">
        <v>1</v>
      </c>
      <c r="AH132" s="12">
        <v>0</v>
      </c>
      <c r="AI132" s="12" t="s">
        <v>72</v>
      </c>
      <c r="AJ132" s="12"/>
      <c r="AK132" s="16"/>
    </row>
    <row r="133" spans="1:37" x14ac:dyDescent="0.25">
      <c r="A133" s="17" t="s">
        <v>226</v>
      </c>
      <c r="B133" s="17">
        <v>57</v>
      </c>
      <c r="C133" s="17">
        <v>247.9</v>
      </c>
      <c r="D133" s="28">
        <v>42669</v>
      </c>
      <c r="E133" s="19">
        <f>[1]!Tabela1[[#This Row],[PSA]]/[1]!Tabela1[[#This Row],[MRI vol]]</f>
        <v>9.181481481481482</v>
      </c>
      <c r="F133" s="17"/>
      <c r="G133" s="17"/>
      <c r="H133" s="17">
        <v>27</v>
      </c>
      <c r="I133" s="17">
        <v>5</v>
      </c>
      <c r="J133" s="17"/>
      <c r="K133" s="20">
        <v>1</v>
      </c>
      <c r="L133" s="20">
        <v>0</v>
      </c>
      <c r="M133" s="20">
        <v>1</v>
      </c>
      <c r="N133" s="20">
        <v>1</v>
      </c>
      <c r="O133" s="20">
        <v>0</v>
      </c>
      <c r="P133" s="20">
        <v>1</v>
      </c>
      <c r="Q133" s="20">
        <v>36</v>
      </c>
      <c r="R133" s="20">
        <v>5</v>
      </c>
      <c r="S133" s="17"/>
      <c r="T133" s="17"/>
      <c r="U133" s="20">
        <v>5</v>
      </c>
      <c r="V133" s="17"/>
      <c r="W133" s="17"/>
      <c r="X133" s="17">
        <v>5</v>
      </c>
      <c r="Y133" s="17">
        <v>5</v>
      </c>
      <c r="Z133" s="17">
        <v>5</v>
      </c>
      <c r="AA133" s="17">
        <v>0</v>
      </c>
      <c r="AB133" s="17">
        <v>0</v>
      </c>
      <c r="AC133" s="17">
        <v>1</v>
      </c>
      <c r="AD133" s="17">
        <v>1</v>
      </c>
      <c r="AE133" s="17">
        <v>1</v>
      </c>
      <c r="AF133" s="17">
        <v>1</v>
      </c>
      <c r="AG133" s="17">
        <v>1</v>
      </c>
      <c r="AH133" s="17">
        <v>1</v>
      </c>
      <c r="AI133" s="17" t="s">
        <v>72</v>
      </c>
      <c r="AJ133" s="17"/>
      <c r="AK133" s="21"/>
    </row>
    <row r="134" spans="1:37" x14ac:dyDescent="0.25">
      <c r="A134" s="12" t="s">
        <v>227</v>
      </c>
      <c r="B134" s="12">
        <v>62</v>
      </c>
      <c r="C134" s="12">
        <v>6.2</v>
      </c>
      <c r="D134" s="27">
        <v>43936</v>
      </c>
      <c r="E134" s="14">
        <f>[1]!Tabela1[[#This Row],[PSA]]/[1]!Tabela1[[#This Row],[MRI vol]]</f>
        <v>0.1409090909090909</v>
      </c>
      <c r="F134" s="12"/>
      <c r="G134" s="12"/>
      <c r="H134" s="12">
        <v>44</v>
      </c>
      <c r="I134" s="12">
        <v>5</v>
      </c>
      <c r="J134" s="12"/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26</v>
      </c>
      <c r="R134" s="15">
        <v>3</v>
      </c>
      <c r="S134" s="12"/>
      <c r="T134" s="12"/>
      <c r="U134" s="15">
        <v>2</v>
      </c>
      <c r="V134" s="12"/>
      <c r="W134" s="12"/>
      <c r="X134" s="12">
        <v>4</v>
      </c>
      <c r="Y134" s="12">
        <v>2</v>
      </c>
      <c r="Z134" s="12">
        <v>4</v>
      </c>
      <c r="AA134" s="12">
        <v>0</v>
      </c>
      <c r="AB134" s="12">
        <v>0</v>
      </c>
      <c r="AC134" s="12">
        <v>1</v>
      </c>
      <c r="AD134" s="12">
        <v>1</v>
      </c>
      <c r="AE134" s="12">
        <v>0</v>
      </c>
      <c r="AF134" s="12">
        <v>0</v>
      </c>
      <c r="AG134" s="12">
        <v>0</v>
      </c>
      <c r="AH134" s="12">
        <v>0</v>
      </c>
      <c r="AI134" s="12" t="s">
        <v>47</v>
      </c>
      <c r="AJ134" s="12"/>
      <c r="AK134" s="16"/>
    </row>
    <row r="135" spans="1:37" x14ac:dyDescent="0.25">
      <c r="A135" s="17" t="s">
        <v>228</v>
      </c>
      <c r="B135" s="17">
        <v>67</v>
      </c>
      <c r="C135" s="17">
        <v>12</v>
      </c>
      <c r="D135" s="28">
        <v>43052</v>
      </c>
      <c r="E135" s="19">
        <f>[1]!Tabela1[[#This Row],[PSA]]/[1]!Tabela1[[#This Row],[MRI vol]]</f>
        <v>0.11320754716981132</v>
      </c>
      <c r="F135" s="17"/>
      <c r="G135" s="17"/>
      <c r="H135" s="17">
        <v>106</v>
      </c>
      <c r="I135" s="17">
        <v>2</v>
      </c>
      <c r="J135" s="17"/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/>
      <c r="R135" s="20">
        <v>0</v>
      </c>
      <c r="S135" s="17"/>
      <c r="T135" s="17"/>
      <c r="U135" s="20">
        <v>1</v>
      </c>
      <c r="V135" s="17"/>
      <c r="W135" s="17"/>
      <c r="X135" s="17">
        <v>1</v>
      </c>
      <c r="Y135" s="17">
        <v>1</v>
      </c>
      <c r="Z135" s="17">
        <v>1</v>
      </c>
      <c r="AA135" s="17">
        <v>0</v>
      </c>
      <c r="AB135" s="17">
        <v>0</v>
      </c>
      <c r="AC135" s="17">
        <v>0</v>
      </c>
      <c r="AD135" s="17">
        <v>0</v>
      </c>
      <c r="AE135" s="17">
        <v>0</v>
      </c>
      <c r="AF135" s="17">
        <v>0</v>
      </c>
      <c r="AG135" s="17">
        <v>0</v>
      </c>
      <c r="AH135" s="17">
        <v>0</v>
      </c>
      <c r="AI135" s="17" t="s">
        <v>53</v>
      </c>
      <c r="AJ135" s="17"/>
      <c r="AK135" s="21"/>
    </row>
    <row r="136" spans="1:37" x14ac:dyDescent="0.25">
      <c r="A136" s="12" t="s">
        <v>229</v>
      </c>
      <c r="B136" s="12">
        <v>60</v>
      </c>
      <c r="C136" s="12">
        <v>4.4000000000000004</v>
      </c>
      <c r="D136" s="27">
        <v>42767</v>
      </c>
      <c r="E136" s="14">
        <f>[1]!Tabela1[[#This Row],[PSA]]/[1]!Tabela1[[#This Row],[MRI vol]]</f>
        <v>9.1666666666666674E-2</v>
      </c>
      <c r="F136" s="12"/>
      <c r="G136" s="12"/>
      <c r="H136" s="12">
        <v>48</v>
      </c>
      <c r="I136" s="12">
        <v>5</v>
      </c>
      <c r="J136" s="12"/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10</v>
      </c>
      <c r="R136" s="15">
        <v>2</v>
      </c>
      <c r="S136" s="12"/>
      <c r="T136" s="12"/>
      <c r="U136" s="15">
        <v>0</v>
      </c>
      <c r="V136" s="12"/>
      <c r="W136" s="12"/>
      <c r="X136" s="12">
        <v>5</v>
      </c>
      <c r="Y136" s="12">
        <v>5</v>
      </c>
      <c r="Z136" s="12">
        <v>0</v>
      </c>
      <c r="AA136" s="12">
        <v>0</v>
      </c>
      <c r="AB136" s="12">
        <v>0</v>
      </c>
      <c r="AC136" s="12">
        <v>1</v>
      </c>
      <c r="AD136" s="12">
        <v>0</v>
      </c>
      <c r="AE136" s="12">
        <v>1</v>
      </c>
      <c r="AF136" s="12">
        <v>0</v>
      </c>
      <c r="AG136" s="12">
        <v>0</v>
      </c>
      <c r="AH136" s="12">
        <v>0</v>
      </c>
      <c r="AI136" s="12" t="s">
        <v>47</v>
      </c>
      <c r="AJ136" s="12"/>
      <c r="AK136" s="16"/>
    </row>
    <row r="137" spans="1:37" x14ac:dyDescent="0.25">
      <c r="A137" s="17" t="s">
        <v>230</v>
      </c>
      <c r="B137" s="17">
        <v>67</v>
      </c>
      <c r="C137" s="17">
        <v>14.2</v>
      </c>
      <c r="D137" s="28">
        <v>42978</v>
      </c>
      <c r="E137" s="19">
        <f>[1]!Tabela1[[#This Row],[PSA]]/[1]!Tabela1[[#This Row],[MRI vol]]</f>
        <v>0.36410256410256409</v>
      </c>
      <c r="F137" s="17"/>
      <c r="G137" s="17"/>
      <c r="H137" s="17">
        <v>39</v>
      </c>
      <c r="I137" s="17">
        <v>4</v>
      </c>
      <c r="J137" s="17"/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37</v>
      </c>
      <c r="R137" s="20">
        <v>2</v>
      </c>
      <c r="S137" s="17"/>
      <c r="T137" s="17"/>
      <c r="U137" s="20">
        <v>1</v>
      </c>
      <c r="V137" s="17"/>
      <c r="W137" s="17"/>
      <c r="X137" s="17">
        <v>2</v>
      </c>
      <c r="Y137" s="17">
        <v>2</v>
      </c>
      <c r="Z137" s="17">
        <v>2</v>
      </c>
      <c r="AA137" s="17">
        <v>0</v>
      </c>
      <c r="AB137" s="17">
        <v>0</v>
      </c>
      <c r="AC137" s="17">
        <v>0</v>
      </c>
      <c r="AD137" s="17">
        <v>0</v>
      </c>
      <c r="AE137" s="17">
        <v>0</v>
      </c>
      <c r="AF137" s="17">
        <v>0</v>
      </c>
      <c r="AG137" s="17">
        <v>0</v>
      </c>
      <c r="AH137" s="17">
        <v>0</v>
      </c>
      <c r="AI137" s="17" t="s">
        <v>53</v>
      </c>
      <c r="AJ137" s="17"/>
      <c r="AK137" s="21"/>
    </row>
    <row r="138" spans="1:37" x14ac:dyDescent="0.25">
      <c r="A138" s="12" t="s">
        <v>231</v>
      </c>
      <c r="B138" s="12">
        <v>75</v>
      </c>
      <c r="C138" s="12">
        <v>14.5</v>
      </c>
      <c r="D138" s="27">
        <v>43056</v>
      </c>
      <c r="E138" s="14">
        <f>[1]!Tabela1[[#This Row],[PSA]]/[1]!Tabela1[[#This Row],[MRI vol]]</f>
        <v>0.55769230769230771</v>
      </c>
      <c r="F138" s="12"/>
      <c r="G138" s="12"/>
      <c r="H138" s="12">
        <v>26</v>
      </c>
      <c r="I138" s="12">
        <v>2</v>
      </c>
      <c r="J138" s="12"/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/>
      <c r="R138" s="15">
        <v>1</v>
      </c>
      <c r="S138" s="12"/>
      <c r="T138" s="12"/>
      <c r="U138" s="15">
        <v>0</v>
      </c>
      <c r="V138" s="12"/>
      <c r="W138" s="12"/>
      <c r="X138" s="12">
        <v>2</v>
      </c>
      <c r="Y138" s="12">
        <v>2</v>
      </c>
      <c r="Z138" s="12">
        <v>2</v>
      </c>
      <c r="AA138" s="12">
        <v>1</v>
      </c>
      <c r="AB138" s="12">
        <v>0</v>
      </c>
      <c r="AC138" s="12">
        <v>1</v>
      </c>
      <c r="AD138" s="12">
        <v>0</v>
      </c>
      <c r="AE138" s="12">
        <v>1</v>
      </c>
      <c r="AF138" s="12">
        <v>0</v>
      </c>
      <c r="AG138" s="12">
        <v>0</v>
      </c>
      <c r="AH138" s="12">
        <v>0</v>
      </c>
      <c r="AI138" s="12" t="s">
        <v>47</v>
      </c>
      <c r="AJ138" s="12"/>
      <c r="AK138" s="16"/>
    </row>
    <row r="139" spans="1:37" x14ac:dyDescent="0.25">
      <c r="A139" s="17" t="s">
        <v>232</v>
      </c>
      <c r="B139" s="17">
        <v>64</v>
      </c>
      <c r="C139" s="17">
        <v>8.3000000000000007</v>
      </c>
      <c r="D139" s="28">
        <v>43566</v>
      </c>
      <c r="E139" s="19">
        <f>[1]!Tabela1[[#This Row],[PSA]]/[1]!Tabela1[[#This Row],[MRI vol]]</f>
        <v>0.19302325581395349</v>
      </c>
      <c r="F139" s="17"/>
      <c r="G139" s="17"/>
      <c r="H139" s="17">
        <v>43</v>
      </c>
      <c r="I139" s="17">
        <v>4</v>
      </c>
      <c r="J139" s="17"/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13</v>
      </c>
      <c r="R139" s="20">
        <v>1</v>
      </c>
      <c r="S139" s="17"/>
      <c r="T139" s="17"/>
      <c r="U139" s="20">
        <v>2</v>
      </c>
      <c r="V139" s="17"/>
      <c r="W139" s="17"/>
      <c r="X139" s="17">
        <v>1</v>
      </c>
      <c r="Y139" s="17">
        <v>1</v>
      </c>
      <c r="Z139" s="17">
        <v>1</v>
      </c>
      <c r="AA139" s="17">
        <v>0</v>
      </c>
      <c r="AB139" s="17">
        <v>0</v>
      </c>
      <c r="AC139" s="17">
        <v>1</v>
      </c>
      <c r="AD139" s="17">
        <v>1</v>
      </c>
      <c r="AE139" s="17">
        <v>1</v>
      </c>
      <c r="AF139" s="17">
        <v>1</v>
      </c>
      <c r="AG139" s="17">
        <v>0</v>
      </c>
      <c r="AH139" s="17">
        <v>1</v>
      </c>
      <c r="AI139" s="17" t="s">
        <v>72</v>
      </c>
      <c r="AJ139" s="17"/>
      <c r="AK139" s="21"/>
    </row>
    <row r="140" spans="1:37" x14ac:dyDescent="0.25">
      <c r="A140" s="12" t="s">
        <v>233</v>
      </c>
      <c r="B140" s="12">
        <v>56</v>
      </c>
      <c r="C140" s="12">
        <v>7</v>
      </c>
      <c r="D140" s="27">
        <v>42941</v>
      </c>
      <c r="E140" s="14">
        <f>[1]!Tabela1[[#This Row],[PSA]]/[1]!Tabela1[[#This Row],[MRI vol]]</f>
        <v>0.29166666666666669</v>
      </c>
      <c r="F140" s="12"/>
      <c r="G140" s="12"/>
      <c r="H140" s="12">
        <v>24</v>
      </c>
      <c r="I140" s="12">
        <v>5</v>
      </c>
      <c r="J140" s="12"/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18</v>
      </c>
      <c r="R140" s="15">
        <v>0</v>
      </c>
      <c r="S140" s="12"/>
      <c r="T140" s="12"/>
      <c r="U140" s="15">
        <v>3</v>
      </c>
      <c r="V140" s="12"/>
      <c r="W140" s="12"/>
      <c r="X140" s="12">
        <v>2</v>
      </c>
      <c r="Y140" s="12">
        <v>2</v>
      </c>
      <c r="Z140" s="12">
        <v>2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 t="s">
        <v>53</v>
      </c>
      <c r="AJ140" s="12"/>
      <c r="AK140" s="16"/>
    </row>
    <row r="141" spans="1:37" x14ac:dyDescent="0.25">
      <c r="A141" s="17" t="s">
        <v>234</v>
      </c>
      <c r="B141" s="17">
        <v>65</v>
      </c>
      <c r="C141" s="17">
        <v>6.7</v>
      </c>
      <c r="D141" s="28">
        <v>42717</v>
      </c>
      <c r="E141" s="19">
        <f>[1]!Tabela1[[#This Row],[PSA]]/[1]!Tabela1[[#This Row],[MRI vol]]</f>
        <v>0.12407407407407407</v>
      </c>
      <c r="F141" s="17"/>
      <c r="G141" s="17"/>
      <c r="H141" s="17">
        <v>54</v>
      </c>
      <c r="I141" s="17">
        <v>4</v>
      </c>
      <c r="J141" s="17"/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8</v>
      </c>
      <c r="R141" s="20">
        <v>1</v>
      </c>
      <c r="S141" s="17"/>
      <c r="T141" s="17"/>
      <c r="U141" s="20">
        <v>1</v>
      </c>
      <c r="V141" s="17"/>
      <c r="W141" s="17"/>
      <c r="X141" s="17">
        <v>1</v>
      </c>
      <c r="Y141" s="17">
        <v>1</v>
      </c>
      <c r="Z141" s="17">
        <v>1</v>
      </c>
      <c r="AA141" s="17">
        <v>0</v>
      </c>
      <c r="AB141" s="17">
        <v>0</v>
      </c>
      <c r="AC141" s="17">
        <v>1</v>
      </c>
      <c r="AD141" s="17">
        <v>1</v>
      </c>
      <c r="AE141" s="17">
        <v>1</v>
      </c>
      <c r="AF141" s="17">
        <v>0</v>
      </c>
      <c r="AG141" s="17">
        <v>0</v>
      </c>
      <c r="AH141" s="17">
        <v>0</v>
      </c>
      <c r="AI141" s="17" t="s">
        <v>47</v>
      </c>
      <c r="AJ141" s="17"/>
      <c r="AK141" s="21"/>
    </row>
    <row r="142" spans="1:37" x14ac:dyDescent="0.25">
      <c r="A142" s="12" t="s">
        <v>235</v>
      </c>
      <c r="B142" s="12">
        <v>59</v>
      </c>
      <c r="C142" s="12">
        <v>5.5</v>
      </c>
      <c r="D142" s="27">
        <v>42863</v>
      </c>
      <c r="E142" s="14">
        <f>[1]!Tabela1[[#This Row],[PSA]]/[1]!Tabela1[[#This Row],[MRI vol]]</f>
        <v>0.11224489795918367</v>
      </c>
      <c r="F142" s="12"/>
      <c r="G142" s="12"/>
      <c r="H142" s="12">
        <v>49</v>
      </c>
      <c r="I142" s="12">
        <v>3</v>
      </c>
      <c r="J142" s="12"/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14</v>
      </c>
      <c r="R142" s="15">
        <v>1</v>
      </c>
      <c r="S142" s="12"/>
      <c r="T142" s="12"/>
      <c r="U142" s="15">
        <v>1</v>
      </c>
      <c r="V142" s="12"/>
      <c r="W142" s="12"/>
      <c r="X142" s="12">
        <v>1</v>
      </c>
      <c r="Y142" s="12">
        <v>1</v>
      </c>
      <c r="Z142" s="12">
        <v>1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 t="s">
        <v>53</v>
      </c>
      <c r="AJ142" s="12"/>
      <c r="AK142" s="16"/>
    </row>
    <row r="143" spans="1:37" x14ac:dyDescent="0.25">
      <c r="A143" s="17" t="s">
        <v>236</v>
      </c>
      <c r="B143" s="17">
        <v>73</v>
      </c>
      <c r="C143" s="17">
        <v>10</v>
      </c>
      <c r="D143" s="28">
        <v>42313</v>
      </c>
      <c r="E143" s="19">
        <f>[1]!Tabela1[[#This Row],[PSA]]/[1]!Tabela1[[#This Row],[MRI vol]]</f>
        <v>0.32258064516129031</v>
      </c>
      <c r="F143" s="17"/>
      <c r="G143" s="17"/>
      <c r="H143" s="17">
        <v>31</v>
      </c>
      <c r="I143" s="17">
        <v>4</v>
      </c>
      <c r="J143" s="17"/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18</v>
      </c>
      <c r="R143" s="20">
        <v>1</v>
      </c>
      <c r="S143" s="17"/>
      <c r="T143" s="17"/>
      <c r="U143" s="17"/>
      <c r="V143" s="17"/>
      <c r="W143" s="17"/>
      <c r="X143" s="17">
        <v>3</v>
      </c>
      <c r="Y143" s="17">
        <v>3</v>
      </c>
      <c r="Z143" s="17">
        <v>3</v>
      </c>
      <c r="AA143" s="17">
        <v>0</v>
      </c>
      <c r="AB143" s="17">
        <v>0</v>
      </c>
      <c r="AC143" s="17">
        <v>1</v>
      </c>
      <c r="AD143" s="17">
        <v>1</v>
      </c>
      <c r="AE143" s="17">
        <v>1</v>
      </c>
      <c r="AF143" s="17">
        <v>1</v>
      </c>
      <c r="AG143" s="17">
        <v>0</v>
      </c>
      <c r="AH143" s="17">
        <v>1</v>
      </c>
      <c r="AI143" s="17" t="s">
        <v>72</v>
      </c>
      <c r="AJ143" s="17"/>
      <c r="AK143" s="21"/>
    </row>
    <row r="144" spans="1:37" x14ac:dyDescent="0.25">
      <c r="A144" s="12" t="s">
        <v>237</v>
      </c>
      <c r="B144" s="12">
        <v>55</v>
      </c>
      <c r="C144" s="12">
        <v>3.8</v>
      </c>
      <c r="D144" s="27">
        <v>42327</v>
      </c>
      <c r="E144" s="14">
        <f>[1]!Tabela1[[#This Row],[PSA]]/[1]!Tabela1[[#This Row],[MRI vol]]</f>
        <v>0.17272727272727273</v>
      </c>
      <c r="F144" s="12"/>
      <c r="G144" s="12"/>
      <c r="H144" s="12">
        <v>22</v>
      </c>
      <c r="I144" s="12">
        <v>5</v>
      </c>
      <c r="J144" s="12"/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7</v>
      </c>
      <c r="R144" s="15">
        <v>0</v>
      </c>
      <c r="S144" s="12"/>
      <c r="T144" s="12"/>
      <c r="U144" s="15">
        <v>1</v>
      </c>
      <c r="V144" s="12"/>
      <c r="W144" s="12"/>
      <c r="X144" s="12">
        <v>1</v>
      </c>
      <c r="Y144" s="12">
        <v>1</v>
      </c>
      <c r="Z144" s="12">
        <v>1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 t="s">
        <v>53</v>
      </c>
      <c r="AJ144" s="12"/>
      <c r="AK144" s="16"/>
    </row>
    <row r="145" spans="1:37" x14ac:dyDescent="0.25">
      <c r="A145" s="17" t="s">
        <v>238</v>
      </c>
      <c r="B145" s="17">
        <v>70</v>
      </c>
      <c r="C145" s="17">
        <v>7.9</v>
      </c>
      <c r="D145" s="28">
        <v>42821</v>
      </c>
      <c r="E145" s="19">
        <f>[1]!Tabela1[[#This Row],[PSA]]/[1]!Tabela1[[#This Row],[MRI vol]]</f>
        <v>0.10394736842105264</v>
      </c>
      <c r="F145" s="17"/>
      <c r="G145" s="17"/>
      <c r="H145" s="17">
        <v>76</v>
      </c>
      <c r="I145" s="17">
        <v>4</v>
      </c>
      <c r="J145" s="17"/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10</v>
      </c>
      <c r="R145" s="20">
        <v>2</v>
      </c>
      <c r="S145" s="17"/>
      <c r="T145" s="17"/>
      <c r="U145" s="20">
        <v>0</v>
      </c>
      <c r="V145" s="17"/>
      <c r="W145" s="17"/>
      <c r="X145" s="17">
        <v>1</v>
      </c>
      <c r="Y145" s="17">
        <v>1</v>
      </c>
      <c r="Z145" s="17">
        <v>1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 t="s">
        <v>53</v>
      </c>
      <c r="AJ145" s="17"/>
      <c r="AK145" s="21"/>
    </row>
    <row r="146" spans="1:37" x14ac:dyDescent="0.25">
      <c r="A146" s="12" t="s">
        <v>239</v>
      </c>
      <c r="B146" s="12">
        <v>59</v>
      </c>
      <c r="C146" s="12">
        <v>26</v>
      </c>
      <c r="D146" s="27">
        <v>43271</v>
      </c>
      <c r="E146" s="14">
        <f>[1]!Tabela1[[#This Row],[PSA]]/[1]!Tabela1[[#This Row],[MRI vol]]</f>
        <v>0.8125</v>
      </c>
      <c r="F146" s="12"/>
      <c r="G146" s="12"/>
      <c r="H146" s="12">
        <v>32</v>
      </c>
      <c r="I146" s="12">
        <v>5</v>
      </c>
      <c r="J146" s="12"/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26</v>
      </c>
      <c r="R146" s="15">
        <v>2</v>
      </c>
      <c r="S146" s="12"/>
      <c r="T146" s="12"/>
      <c r="U146" s="15">
        <v>0</v>
      </c>
      <c r="V146" s="12"/>
      <c r="W146" s="12"/>
      <c r="X146" s="12">
        <v>2</v>
      </c>
      <c r="Y146" s="12">
        <v>2</v>
      </c>
      <c r="Z146" s="12">
        <v>2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 t="s">
        <v>53</v>
      </c>
      <c r="AJ146" s="12"/>
      <c r="AK146" s="16"/>
    </row>
    <row r="147" spans="1:37" x14ac:dyDescent="0.25">
      <c r="A147" s="17" t="s">
        <v>240</v>
      </c>
      <c r="B147" s="17">
        <v>62</v>
      </c>
      <c r="C147" s="17">
        <v>2.9</v>
      </c>
      <c r="D147" s="28">
        <v>42335</v>
      </c>
      <c r="E147" s="19">
        <f>[1]!Tabela1[[#This Row],[PSA]]/[1]!Tabela1[[#This Row],[MRI vol]]</f>
        <v>7.2499999999999995E-2</v>
      </c>
      <c r="F147" s="17"/>
      <c r="G147" s="17"/>
      <c r="H147" s="17">
        <v>40</v>
      </c>
      <c r="I147" s="17">
        <v>4</v>
      </c>
      <c r="J147" s="17"/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14</v>
      </c>
      <c r="R147" s="20">
        <v>1</v>
      </c>
      <c r="S147" s="17"/>
      <c r="T147" s="17"/>
      <c r="U147" s="20">
        <v>0</v>
      </c>
      <c r="V147" s="17"/>
      <c r="W147" s="17"/>
      <c r="X147" s="17">
        <v>2</v>
      </c>
      <c r="Y147" s="17">
        <v>2</v>
      </c>
      <c r="Z147" s="17">
        <v>2</v>
      </c>
      <c r="AA147" s="17">
        <v>0</v>
      </c>
      <c r="AB147" s="17">
        <v>0</v>
      </c>
      <c r="AC147" s="17">
        <v>0</v>
      </c>
      <c r="AD147" s="17">
        <v>0</v>
      </c>
      <c r="AE147" s="17">
        <v>0</v>
      </c>
      <c r="AF147" s="17">
        <v>0</v>
      </c>
      <c r="AG147" s="17">
        <v>0</v>
      </c>
      <c r="AH147" s="17">
        <v>0</v>
      </c>
      <c r="AI147" s="17" t="s">
        <v>53</v>
      </c>
      <c r="AJ147" s="17"/>
      <c r="AK147" s="21"/>
    </row>
    <row r="148" spans="1:37" x14ac:dyDescent="0.25">
      <c r="A148" s="12" t="s">
        <v>241</v>
      </c>
      <c r="B148" s="12">
        <v>68</v>
      </c>
      <c r="C148" s="12">
        <v>5.4</v>
      </c>
      <c r="D148" s="27">
        <v>42439</v>
      </c>
      <c r="E148" s="14">
        <f>[1]!Tabela1[[#This Row],[PSA]]/[1]!Tabela1[[#This Row],[MRI vol]]</f>
        <v>0.16363636363636364</v>
      </c>
      <c r="F148" s="12"/>
      <c r="G148" s="12"/>
      <c r="H148" s="12">
        <v>33</v>
      </c>
      <c r="I148" s="12">
        <v>5</v>
      </c>
      <c r="J148" s="12"/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14</v>
      </c>
      <c r="R148" s="15">
        <v>0</v>
      </c>
      <c r="S148" s="12"/>
      <c r="T148" s="12"/>
      <c r="U148" s="15">
        <v>1</v>
      </c>
      <c r="V148" s="12"/>
      <c r="W148" s="12"/>
      <c r="X148" s="12">
        <v>3</v>
      </c>
      <c r="Y148" s="12">
        <v>3</v>
      </c>
      <c r="Z148" s="12">
        <v>3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 t="s">
        <v>53</v>
      </c>
      <c r="AJ148" s="12"/>
      <c r="AK148" s="16"/>
    </row>
    <row r="149" spans="1:37" x14ac:dyDescent="0.25">
      <c r="A149" s="17" t="s">
        <v>242</v>
      </c>
      <c r="B149" s="17">
        <v>69</v>
      </c>
      <c r="C149" s="17">
        <v>4.2</v>
      </c>
      <c r="D149" s="28">
        <v>42996</v>
      </c>
      <c r="E149" s="19">
        <f>[1]!Tabela1[[#This Row],[PSA]]/[1]!Tabela1[[#This Row],[MRI vol]]</f>
        <v>0.12352941176470589</v>
      </c>
      <c r="F149" s="17"/>
      <c r="G149" s="17"/>
      <c r="H149" s="17">
        <v>34</v>
      </c>
      <c r="I149" s="17">
        <v>5</v>
      </c>
      <c r="J149" s="17"/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19</v>
      </c>
      <c r="R149" s="20">
        <v>2</v>
      </c>
      <c r="S149" s="17"/>
      <c r="T149" s="17"/>
      <c r="U149" s="20">
        <v>4</v>
      </c>
      <c r="V149" s="17"/>
      <c r="W149" s="17"/>
      <c r="X149" s="17">
        <v>4</v>
      </c>
      <c r="Y149" s="17">
        <v>4</v>
      </c>
      <c r="Z149" s="17">
        <v>4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 t="s">
        <v>53</v>
      </c>
      <c r="AJ149" s="17"/>
      <c r="AK149" s="21"/>
    </row>
    <row r="150" spans="1:37" x14ac:dyDescent="0.25">
      <c r="A150" s="12" t="s">
        <v>243</v>
      </c>
      <c r="B150" s="12">
        <v>76</v>
      </c>
      <c r="C150" s="12">
        <v>21</v>
      </c>
      <c r="D150" s="27">
        <v>43496</v>
      </c>
      <c r="E150" s="14">
        <f>[1]!Tabela1[[#This Row],[PSA]]/[1]!Tabela1[[#This Row],[MRI vol]]</f>
        <v>0.46666666666666667</v>
      </c>
      <c r="F150" s="12"/>
      <c r="G150" s="12"/>
      <c r="H150" s="12">
        <v>45</v>
      </c>
      <c r="I150" s="12">
        <v>4</v>
      </c>
      <c r="J150" s="12"/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10</v>
      </c>
      <c r="R150" s="15">
        <v>4</v>
      </c>
      <c r="S150" s="12"/>
      <c r="T150" s="12"/>
      <c r="U150" s="15">
        <v>4</v>
      </c>
      <c r="V150" s="12"/>
      <c r="W150" s="12"/>
      <c r="X150" s="12">
        <v>4</v>
      </c>
      <c r="Y150" s="12">
        <v>4</v>
      </c>
      <c r="Z150" s="12">
        <v>4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 t="s">
        <v>53</v>
      </c>
      <c r="AJ150" s="12"/>
      <c r="AK150" s="16"/>
    </row>
    <row r="151" spans="1:37" x14ac:dyDescent="0.25">
      <c r="A151" s="17" t="s">
        <v>244</v>
      </c>
      <c r="B151" s="17">
        <v>66</v>
      </c>
      <c r="C151" s="17">
        <v>9.5</v>
      </c>
      <c r="D151" s="28">
        <v>42992</v>
      </c>
      <c r="E151" s="19">
        <f>[1]!Tabela1[[#This Row],[PSA]]/[1]!Tabela1[[#This Row],[MRI vol]]</f>
        <v>0.25675675675675674</v>
      </c>
      <c r="F151" s="17"/>
      <c r="G151" s="17"/>
      <c r="H151" s="17">
        <v>37</v>
      </c>
      <c r="I151" s="17">
        <v>4</v>
      </c>
      <c r="J151" s="17"/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11</v>
      </c>
      <c r="R151" s="20">
        <v>0</v>
      </c>
      <c r="S151" s="20"/>
      <c r="T151" s="17"/>
      <c r="U151" s="20">
        <v>2</v>
      </c>
      <c r="V151" s="17"/>
      <c r="W151" s="17"/>
      <c r="X151" s="17">
        <v>2</v>
      </c>
      <c r="Y151" s="17">
        <v>2</v>
      </c>
      <c r="Z151" s="17">
        <v>2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 t="s">
        <v>53</v>
      </c>
      <c r="AJ151" s="17"/>
      <c r="AK151" s="21"/>
    </row>
    <row r="152" spans="1:37" x14ac:dyDescent="0.25">
      <c r="A152" s="12" t="s">
        <v>245</v>
      </c>
      <c r="B152" s="12">
        <v>67</v>
      </c>
      <c r="C152" s="12">
        <v>12.4</v>
      </c>
      <c r="D152" s="27">
        <v>42802</v>
      </c>
      <c r="E152" s="14" t="e">
        <f>[1]!Tabela1[[#This Row],[PSA]]/[1]!Tabela1[[#This Row],[MRI vol]]</f>
        <v>#DIV/0!</v>
      </c>
      <c r="F152" s="12"/>
      <c r="G152" s="12"/>
      <c r="H152" s="12"/>
      <c r="I152" s="12">
        <v>3</v>
      </c>
      <c r="J152" s="12"/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14</v>
      </c>
      <c r="R152" s="15">
        <v>1</v>
      </c>
      <c r="S152" s="12"/>
      <c r="T152" s="12"/>
      <c r="U152" s="15">
        <v>0</v>
      </c>
      <c r="V152" s="12"/>
      <c r="W152" s="12"/>
      <c r="X152" s="12">
        <v>1</v>
      </c>
      <c r="Y152" s="12">
        <v>1</v>
      </c>
      <c r="Z152" s="12">
        <v>1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 t="s">
        <v>53</v>
      </c>
      <c r="AJ152" s="12"/>
      <c r="AK152" s="16"/>
    </row>
    <row r="153" spans="1:37" x14ac:dyDescent="0.25">
      <c r="A153" s="17" t="s">
        <v>246</v>
      </c>
      <c r="B153" s="17">
        <v>69</v>
      </c>
      <c r="C153" s="17">
        <v>6.6</v>
      </c>
      <c r="D153" s="28">
        <v>42874</v>
      </c>
      <c r="E153" s="19">
        <f>[1]!Tabela1[[#This Row],[PSA]]/[1]!Tabela1[[#This Row],[MRI vol]]</f>
        <v>0.23571428571428571</v>
      </c>
      <c r="F153" s="17"/>
      <c r="G153" s="17"/>
      <c r="H153" s="17">
        <v>28</v>
      </c>
      <c r="I153" s="17">
        <v>4</v>
      </c>
      <c r="J153" s="17"/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11</v>
      </c>
      <c r="R153" s="20">
        <v>3</v>
      </c>
      <c r="S153" s="17"/>
      <c r="T153" s="17"/>
      <c r="U153" s="20">
        <v>0</v>
      </c>
      <c r="V153" s="17"/>
      <c r="W153" s="17"/>
      <c r="X153" s="17">
        <v>2</v>
      </c>
      <c r="Y153" s="17">
        <v>2</v>
      </c>
      <c r="Z153" s="17">
        <v>2</v>
      </c>
      <c r="AA153" s="17">
        <v>0</v>
      </c>
      <c r="AB153" s="17">
        <v>0</v>
      </c>
      <c r="AC153" s="17">
        <v>0</v>
      </c>
      <c r="AD153" s="17">
        <v>0</v>
      </c>
      <c r="AE153" s="17">
        <v>0</v>
      </c>
      <c r="AF153" s="17">
        <v>0</v>
      </c>
      <c r="AG153" s="17">
        <v>0</v>
      </c>
      <c r="AH153" s="17">
        <v>0</v>
      </c>
      <c r="AI153" s="17" t="s">
        <v>53</v>
      </c>
      <c r="AJ153" s="17"/>
      <c r="AK153" s="21"/>
    </row>
    <row r="154" spans="1:37" x14ac:dyDescent="0.25">
      <c r="A154" s="12" t="s">
        <v>247</v>
      </c>
      <c r="B154" s="12">
        <v>63</v>
      </c>
      <c r="C154" s="12">
        <v>16.8</v>
      </c>
      <c r="D154" s="27">
        <v>42849</v>
      </c>
      <c r="E154" s="14">
        <f>[1]!Tabela1[[#This Row],[PSA]]/[1]!Tabela1[[#This Row],[MRI vol]]</f>
        <v>0.64615384615384619</v>
      </c>
      <c r="F154" s="12"/>
      <c r="G154" s="12"/>
      <c r="H154" s="12">
        <v>26</v>
      </c>
      <c r="I154" s="12">
        <v>5</v>
      </c>
      <c r="J154" s="12"/>
      <c r="K154" s="15">
        <v>1</v>
      </c>
      <c r="L154" s="15">
        <v>1</v>
      </c>
      <c r="M154" s="15">
        <v>1</v>
      </c>
      <c r="N154" s="15">
        <v>0</v>
      </c>
      <c r="O154" s="15">
        <v>0</v>
      </c>
      <c r="P154" s="15">
        <v>0</v>
      </c>
      <c r="Q154" s="15">
        <v>42</v>
      </c>
      <c r="R154" s="15">
        <v>1</v>
      </c>
      <c r="S154" s="12"/>
      <c r="T154" s="12"/>
      <c r="U154" s="15">
        <v>1</v>
      </c>
      <c r="V154" s="12"/>
      <c r="W154" s="12"/>
      <c r="X154" s="12">
        <v>2</v>
      </c>
      <c r="Y154" s="12">
        <v>2</v>
      </c>
      <c r="Z154" s="12">
        <v>2</v>
      </c>
      <c r="AA154" s="12">
        <v>0</v>
      </c>
      <c r="AB154" s="12">
        <v>1</v>
      </c>
      <c r="AC154" s="12">
        <v>1</v>
      </c>
      <c r="AD154" s="12">
        <v>1</v>
      </c>
      <c r="AE154" s="12">
        <v>1</v>
      </c>
      <c r="AF154" s="12">
        <v>1</v>
      </c>
      <c r="AG154" s="12">
        <v>0</v>
      </c>
      <c r="AH154" s="12">
        <v>1</v>
      </c>
      <c r="AI154" s="12" t="s">
        <v>72</v>
      </c>
      <c r="AJ154" s="12"/>
      <c r="AK154" s="16"/>
    </row>
    <row r="155" spans="1:37" x14ac:dyDescent="0.25">
      <c r="A155" s="17" t="s">
        <v>248</v>
      </c>
      <c r="B155" s="17">
        <v>61</v>
      </c>
      <c r="C155" s="17">
        <v>10.7</v>
      </c>
      <c r="D155" s="28">
        <v>43378</v>
      </c>
      <c r="E155" s="19">
        <f>[1]!Tabela1[[#This Row],[PSA]]/[1]!Tabela1[[#This Row],[MRI vol]]</f>
        <v>0.22291666666666665</v>
      </c>
      <c r="F155" s="17"/>
      <c r="G155" s="17"/>
      <c r="H155" s="17">
        <v>48</v>
      </c>
      <c r="I155" s="17">
        <v>4</v>
      </c>
      <c r="J155" s="17"/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6</v>
      </c>
      <c r="R155" s="20">
        <v>1</v>
      </c>
      <c r="S155" s="17"/>
      <c r="T155" s="17"/>
      <c r="U155" s="20">
        <v>0</v>
      </c>
      <c r="V155" s="17"/>
      <c r="W155" s="17"/>
      <c r="X155" s="17">
        <v>2</v>
      </c>
      <c r="Y155" s="17">
        <v>2</v>
      </c>
      <c r="Z155" s="17">
        <v>2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 t="s">
        <v>53</v>
      </c>
      <c r="AJ155" s="17"/>
      <c r="AK155" s="21"/>
    </row>
    <row r="156" spans="1:37" x14ac:dyDescent="0.25">
      <c r="A156" s="12" t="s">
        <v>249</v>
      </c>
      <c r="B156" s="12">
        <v>67</v>
      </c>
      <c r="C156" s="12">
        <v>6</v>
      </c>
      <c r="D156" s="27">
        <v>43089</v>
      </c>
      <c r="E156" s="14">
        <f>[1]!Tabela1[[#This Row],[PSA]]/[1]!Tabela1[[#This Row],[MRI vol]]</f>
        <v>0.1875</v>
      </c>
      <c r="F156" s="12"/>
      <c r="G156" s="12"/>
      <c r="H156" s="12">
        <v>32</v>
      </c>
      <c r="I156" s="12">
        <v>3</v>
      </c>
      <c r="J156" s="12"/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9</v>
      </c>
      <c r="R156" s="15">
        <v>0</v>
      </c>
      <c r="S156" s="12"/>
      <c r="T156" s="12"/>
      <c r="U156" s="15">
        <v>2</v>
      </c>
      <c r="V156" s="12"/>
      <c r="W156" s="12"/>
      <c r="X156" s="12">
        <v>2</v>
      </c>
      <c r="Y156" s="12">
        <v>1</v>
      </c>
      <c r="Z156" s="12">
        <v>2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 t="s">
        <v>53</v>
      </c>
      <c r="AJ156" s="12"/>
      <c r="AK156" s="16"/>
    </row>
    <row r="157" spans="1:37" x14ac:dyDescent="0.25">
      <c r="A157" s="17" t="s">
        <v>250</v>
      </c>
      <c r="B157" s="17">
        <v>66</v>
      </c>
      <c r="C157" s="17">
        <v>9</v>
      </c>
      <c r="D157" s="28">
        <v>42864</v>
      </c>
      <c r="E157" s="19">
        <f>[1]!Tabela1[[#This Row],[PSA]]/[1]!Tabela1[[#This Row],[MRI vol]]</f>
        <v>0.32142857142857145</v>
      </c>
      <c r="F157" s="17"/>
      <c r="G157" s="17"/>
      <c r="H157" s="17">
        <v>28</v>
      </c>
      <c r="I157" s="17">
        <v>4</v>
      </c>
      <c r="J157" s="17"/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9</v>
      </c>
      <c r="R157" s="20">
        <v>1</v>
      </c>
      <c r="S157" s="17"/>
      <c r="T157" s="17"/>
      <c r="U157" s="20">
        <v>3</v>
      </c>
      <c r="V157" s="17"/>
      <c r="W157" s="17"/>
      <c r="X157" s="17">
        <v>5</v>
      </c>
      <c r="Y157" s="17">
        <v>2</v>
      </c>
      <c r="Z157" s="17">
        <v>5</v>
      </c>
      <c r="AA157" s="17">
        <v>0</v>
      </c>
      <c r="AB157" s="17">
        <v>0</v>
      </c>
      <c r="AC157" s="17">
        <v>1</v>
      </c>
      <c r="AD157" s="17">
        <v>1</v>
      </c>
      <c r="AE157" s="17">
        <v>0</v>
      </c>
      <c r="AF157" s="17">
        <v>1</v>
      </c>
      <c r="AG157" s="17">
        <v>1</v>
      </c>
      <c r="AH157" s="17">
        <v>0</v>
      </c>
      <c r="AI157" s="17" t="s">
        <v>72</v>
      </c>
      <c r="AJ157" s="17"/>
      <c r="AK157" s="21"/>
    </row>
    <row r="158" spans="1:37" x14ac:dyDescent="0.25">
      <c r="A158" s="12" t="s">
        <v>251</v>
      </c>
      <c r="B158" s="12">
        <v>58</v>
      </c>
      <c r="C158" s="12">
        <v>11.2</v>
      </c>
      <c r="D158" s="27">
        <v>42479</v>
      </c>
      <c r="E158" s="14">
        <f>[1]!Tabela1[[#This Row],[PSA]]/[1]!Tabela1[[#This Row],[MRI vol]]</f>
        <v>0.32941176470588235</v>
      </c>
      <c r="F158" s="12"/>
      <c r="G158" s="12"/>
      <c r="H158" s="12">
        <v>34</v>
      </c>
      <c r="I158" s="12">
        <v>5</v>
      </c>
      <c r="J158" s="12"/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31</v>
      </c>
      <c r="R158" s="15">
        <v>2</v>
      </c>
      <c r="S158" s="12"/>
      <c r="T158" s="12"/>
      <c r="U158" s="15">
        <v>2</v>
      </c>
      <c r="V158" s="12"/>
      <c r="W158" s="12"/>
      <c r="X158" s="12">
        <v>1</v>
      </c>
      <c r="Y158" s="12">
        <v>1</v>
      </c>
      <c r="Z158" s="12">
        <v>1</v>
      </c>
      <c r="AA158" s="12">
        <v>0</v>
      </c>
      <c r="AB158" s="12">
        <v>0</v>
      </c>
      <c r="AC158" s="12">
        <v>1</v>
      </c>
      <c r="AD158" s="12">
        <v>1</v>
      </c>
      <c r="AE158" s="12">
        <v>0</v>
      </c>
      <c r="AF158" s="12">
        <v>0</v>
      </c>
      <c r="AG158" s="12">
        <v>0</v>
      </c>
      <c r="AH158" s="12">
        <v>0</v>
      </c>
      <c r="AI158" s="12" t="s">
        <v>47</v>
      </c>
      <c r="AJ158" s="12"/>
      <c r="AK158" s="16"/>
    </row>
    <row r="159" spans="1:37" x14ac:dyDescent="0.25">
      <c r="A159" s="17" t="s">
        <v>252</v>
      </c>
      <c r="B159" s="17">
        <v>69</v>
      </c>
      <c r="C159" s="17">
        <v>7.2</v>
      </c>
      <c r="D159" s="28">
        <v>43777</v>
      </c>
      <c r="E159" s="19">
        <f>[1]!Tabela1[[#This Row],[PSA]]/[1]!Tabela1[[#This Row],[MRI vol]]</f>
        <v>0.18461538461538463</v>
      </c>
      <c r="F159" s="17"/>
      <c r="G159" s="17"/>
      <c r="H159" s="17">
        <v>39</v>
      </c>
      <c r="I159" s="17">
        <v>3</v>
      </c>
      <c r="J159" s="17"/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9</v>
      </c>
      <c r="R159" s="20">
        <v>0</v>
      </c>
      <c r="S159" s="17"/>
      <c r="T159" s="17"/>
      <c r="U159" s="20">
        <v>1</v>
      </c>
      <c r="V159" s="17"/>
      <c r="W159" s="17"/>
      <c r="X159" s="17">
        <v>2</v>
      </c>
      <c r="Y159" s="17">
        <v>2</v>
      </c>
      <c r="Z159" s="17">
        <v>1</v>
      </c>
      <c r="AA159" s="17">
        <v>0</v>
      </c>
      <c r="AB159" s="17">
        <v>0</v>
      </c>
      <c r="AC159" s="17">
        <v>0</v>
      </c>
      <c r="AD159" s="17">
        <v>0</v>
      </c>
      <c r="AE159" s="17">
        <v>0</v>
      </c>
      <c r="AF159" s="17">
        <v>0</v>
      </c>
      <c r="AG159" s="17">
        <v>0</v>
      </c>
      <c r="AH159" s="17">
        <v>0</v>
      </c>
      <c r="AI159" s="17" t="s">
        <v>53</v>
      </c>
      <c r="AJ159" s="17"/>
      <c r="AK159" s="21"/>
    </row>
    <row r="160" spans="1:37" x14ac:dyDescent="0.25">
      <c r="A160" s="12" t="s">
        <v>253</v>
      </c>
      <c r="B160" s="12">
        <v>71</v>
      </c>
      <c r="C160" s="12">
        <v>7</v>
      </c>
      <c r="D160" s="27">
        <v>43948</v>
      </c>
      <c r="E160" s="14">
        <f>[1]!Tabela1[[#This Row],[PSA]]/[1]!Tabela1[[#This Row],[MRI vol]]</f>
        <v>0.11666666666666667</v>
      </c>
      <c r="F160" s="12"/>
      <c r="G160" s="12"/>
      <c r="H160" s="12">
        <v>60</v>
      </c>
      <c r="I160" s="12">
        <v>4</v>
      </c>
      <c r="J160" s="12"/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10</v>
      </c>
      <c r="R160" s="15">
        <v>0</v>
      </c>
      <c r="S160" s="12"/>
      <c r="T160" s="12"/>
      <c r="U160" s="15">
        <v>4</v>
      </c>
      <c r="V160" s="12"/>
      <c r="W160" s="12"/>
      <c r="X160" s="12">
        <v>3</v>
      </c>
      <c r="Y160" s="12">
        <v>1</v>
      </c>
      <c r="Z160" s="12">
        <v>2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 t="s">
        <v>53</v>
      </c>
      <c r="AJ160" s="12"/>
      <c r="AK160" s="16"/>
    </row>
    <row r="161" spans="1:37" x14ac:dyDescent="0.25">
      <c r="A161" s="17" t="s">
        <v>254</v>
      </c>
      <c r="B161" s="17">
        <v>45</v>
      </c>
      <c r="C161" s="17">
        <v>12.2</v>
      </c>
      <c r="D161" s="28">
        <v>42402</v>
      </c>
      <c r="E161" s="19">
        <f>[1]!Tabela1[[#This Row],[PSA]]/[1]!Tabela1[[#This Row],[MRI vol]]</f>
        <v>0.46923076923076923</v>
      </c>
      <c r="F161" s="17"/>
      <c r="G161" s="17"/>
      <c r="H161" s="17">
        <v>26</v>
      </c>
      <c r="I161" s="17"/>
      <c r="J161" s="17"/>
      <c r="K161" s="20">
        <v>1</v>
      </c>
      <c r="L161" s="20">
        <v>1</v>
      </c>
      <c r="M161" s="20">
        <v>1</v>
      </c>
      <c r="N161" s="20">
        <v>1</v>
      </c>
      <c r="O161" s="20">
        <v>1</v>
      </c>
      <c r="P161" s="20">
        <v>1</v>
      </c>
      <c r="Q161" s="20"/>
      <c r="R161" s="20">
        <v>0</v>
      </c>
      <c r="S161" s="17"/>
      <c r="T161" s="17"/>
      <c r="U161" s="20">
        <v>4</v>
      </c>
      <c r="V161" s="17"/>
      <c r="W161" s="17" t="s">
        <v>255</v>
      </c>
      <c r="X161" s="17">
        <v>5</v>
      </c>
      <c r="Y161" s="17">
        <v>5</v>
      </c>
      <c r="Z161" s="17">
        <v>5</v>
      </c>
      <c r="AA161" s="17">
        <v>0</v>
      </c>
      <c r="AB161" s="17">
        <v>1</v>
      </c>
      <c r="AC161" s="17">
        <v>1</v>
      </c>
      <c r="AD161" s="17">
        <v>1</v>
      </c>
      <c r="AE161" s="17">
        <v>1</v>
      </c>
      <c r="AF161" s="17">
        <v>1</v>
      </c>
      <c r="AG161" s="17">
        <v>1</v>
      </c>
      <c r="AH161" s="17">
        <v>1</v>
      </c>
      <c r="AI161" s="17" t="s">
        <v>56</v>
      </c>
      <c r="AJ161" s="17"/>
      <c r="AK161" s="21"/>
    </row>
    <row r="162" spans="1:37" x14ac:dyDescent="0.25">
      <c r="A162" s="12" t="s">
        <v>256</v>
      </c>
      <c r="B162" s="12">
        <v>63</v>
      </c>
      <c r="C162" s="12">
        <v>11</v>
      </c>
      <c r="D162" s="27">
        <v>42970</v>
      </c>
      <c r="E162" s="14">
        <f>[1]!Tabela1[[#This Row],[PSA]]/[1]!Tabela1[[#This Row],[MRI vol]]</f>
        <v>0.22</v>
      </c>
      <c r="F162" s="12"/>
      <c r="G162" s="12"/>
      <c r="H162" s="12">
        <v>50</v>
      </c>
      <c r="I162" s="12">
        <v>5</v>
      </c>
      <c r="J162" s="12"/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15</v>
      </c>
      <c r="R162" s="15">
        <v>4</v>
      </c>
      <c r="S162" s="12"/>
      <c r="T162" s="12"/>
      <c r="U162" s="15">
        <v>4</v>
      </c>
      <c r="V162" s="12"/>
      <c r="W162" s="12"/>
      <c r="X162" s="12">
        <v>4</v>
      </c>
      <c r="Y162" s="12">
        <v>4</v>
      </c>
      <c r="Z162" s="12">
        <v>4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 t="s">
        <v>53</v>
      </c>
      <c r="AJ162" s="12"/>
      <c r="AK162" s="16"/>
    </row>
    <row r="163" spans="1:37" x14ac:dyDescent="0.25">
      <c r="A163" s="17" t="s">
        <v>257</v>
      </c>
      <c r="B163" s="17">
        <v>72</v>
      </c>
      <c r="C163" s="17">
        <v>8.1999999999999993</v>
      </c>
      <c r="D163" s="28">
        <v>42766</v>
      </c>
      <c r="E163" s="19">
        <f>[1]!Tabela1[[#This Row],[PSA]]/[1]!Tabela1[[#This Row],[MRI vol]]</f>
        <v>0.12424242424242424</v>
      </c>
      <c r="F163" s="17"/>
      <c r="G163" s="17"/>
      <c r="H163" s="17">
        <v>66</v>
      </c>
      <c r="I163" s="17">
        <v>5</v>
      </c>
      <c r="J163" s="17"/>
      <c r="K163" s="20">
        <v>1</v>
      </c>
      <c r="L163" s="20">
        <v>1</v>
      </c>
      <c r="M163" s="20">
        <v>0</v>
      </c>
      <c r="N163" s="20">
        <v>1</v>
      </c>
      <c r="O163" s="20">
        <v>1</v>
      </c>
      <c r="P163" s="20">
        <v>0</v>
      </c>
      <c r="Q163" s="20">
        <v>23</v>
      </c>
      <c r="R163" s="20">
        <v>1</v>
      </c>
      <c r="S163" s="17"/>
      <c r="T163" s="17"/>
      <c r="U163" s="20">
        <v>5</v>
      </c>
      <c r="V163" s="17"/>
      <c r="W163" s="17"/>
      <c r="X163" s="17">
        <v>4</v>
      </c>
      <c r="Y163" s="17">
        <v>1</v>
      </c>
      <c r="Z163" s="17">
        <v>4</v>
      </c>
      <c r="AA163" s="17">
        <v>0</v>
      </c>
      <c r="AB163" s="17">
        <v>0</v>
      </c>
      <c r="AC163" s="17">
        <v>0</v>
      </c>
      <c r="AD163" s="17">
        <v>0</v>
      </c>
      <c r="AE163" s="17">
        <v>0</v>
      </c>
      <c r="AF163" s="17">
        <v>0</v>
      </c>
      <c r="AG163" s="17">
        <v>0</v>
      </c>
      <c r="AH163" s="17">
        <v>0</v>
      </c>
      <c r="AI163" s="17" t="s">
        <v>53</v>
      </c>
      <c r="AJ163" s="17"/>
      <c r="AK163" s="21"/>
    </row>
    <row r="164" spans="1:37" x14ac:dyDescent="0.25">
      <c r="A164" s="12" t="s">
        <v>258</v>
      </c>
      <c r="B164" s="12">
        <v>68</v>
      </c>
      <c r="C164" s="12">
        <v>8.1999999999999993</v>
      </c>
      <c r="D164" s="27">
        <v>43973</v>
      </c>
      <c r="E164" s="14">
        <f>[1]!Tabela1[[#This Row],[PSA]]/[1]!Tabela1[[#This Row],[MRI vol]]</f>
        <v>0.21025641025641023</v>
      </c>
      <c r="F164" s="12"/>
      <c r="G164" s="12"/>
      <c r="H164" s="12">
        <v>39</v>
      </c>
      <c r="I164" s="12">
        <v>4</v>
      </c>
      <c r="J164" s="12"/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13</v>
      </c>
      <c r="R164" s="15"/>
      <c r="S164" s="12"/>
      <c r="T164" s="12"/>
      <c r="U164" s="12"/>
      <c r="V164" s="12"/>
      <c r="W164" s="12"/>
      <c r="X164" s="12">
        <v>3</v>
      </c>
      <c r="Y164" s="12">
        <v>3</v>
      </c>
      <c r="Z164" s="12">
        <v>3</v>
      </c>
      <c r="AA164" s="12">
        <v>1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 t="s">
        <v>53</v>
      </c>
      <c r="AJ164" s="12"/>
      <c r="AK164" s="16"/>
    </row>
    <row r="165" spans="1:37" x14ac:dyDescent="0.25">
      <c r="A165" s="17" t="s">
        <v>259</v>
      </c>
      <c r="B165" s="17">
        <v>63</v>
      </c>
      <c r="C165" s="17">
        <v>7.3</v>
      </c>
      <c r="D165" s="28">
        <v>42668</v>
      </c>
      <c r="E165" s="19">
        <f>[1]!Tabela1[[#This Row],[PSA]]/[1]!Tabela1[[#This Row],[MRI vol]]</f>
        <v>0.34761904761904761</v>
      </c>
      <c r="F165" s="17"/>
      <c r="G165" s="17"/>
      <c r="H165" s="17">
        <v>21</v>
      </c>
      <c r="I165" s="17">
        <v>5</v>
      </c>
      <c r="J165" s="17"/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13</v>
      </c>
      <c r="R165" s="20">
        <v>2</v>
      </c>
      <c r="S165" s="17"/>
      <c r="T165" s="17"/>
      <c r="U165" s="20">
        <v>2</v>
      </c>
      <c r="V165" s="17"/>
      <c r="W165" s="17"/>
      <c r="X165" s="17">
        <v>2</v>
      </c>
      <c r="Y165" s="17">
        <v>2</v>
      </c>
      <c r="Z165" s="17">
        <v>2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 t="s">
        <v>53</v>
      </c>
      <c r="AJ165" s="17"/>
      <c r="AK165" s="21"/>
    </row>
    <row r="166" spans="1:37" x14ac:dyDescent="0.25">
      <c r="A166" s="12" t="s">
        <v>260</v>
      </c>
      <c r="B166" s="12">
        <v>59</v>
      </c>
      <c r="C166" s="12">
        <v>7.5</v>
      </c>
      <c r="D166" s="27">
        <v>43104</v>
      </c>
      <c r="E166" s="14">
        <f>[1]!Tabela1[[#This Row],[PSA]]/[1]!Tabela1[[#This Row],[MRI vol]]</f>
        <v>0.14705882352941177</v>
      </c>
      <c r="F166" s="12"/>
      <c r="G166" s="12"/>
      <c r="H166" s="12">
        <v>51</v>
      </c>
      <c r="I166" s="12">
        <v>3</v>
      </c>
      <c r="J166" s="12"/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10</v>
      </c>
      <c r="R166" s="15">
        <v>1</v>
      </c>
      <c r="S166" s="12"/>
      <c r="T166" s="12"/>
      <c r="U166" s="15">
        <v>1</v>
      </c>
      <c r="V166" s="12"/>
      <c r="W166" s="12"/>
      <c r="X166" s="12">
        <v>2</v>
      </c>
      <c r="Y166" s="12">
        <v>2</v>
      </c>
      <c r="Z166" s="12">
        <v>2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 t="s">
        <v>53</v>
      </c>
      <c r="AJ166" s="12"/>
      <c r="AK166" s="16"/>
    </row>
    <row r="167" spans="1:37" x14ac:dyDescent="0.25">
      <c r="A167" s="17" t="s">
        <v>261</v>
      </c>
      <c r="B167" s="17">
        <v>62</v>
      </c>
      <c r="C167" s="17">
        <v>6</v>
      </c>
      <c r="D167" s="28">
        <v>42523</v>
      </c>
      <c r="E167" s="19">
        <f>[1]!Tabela1[[#This Row],[PSA]]/[1]!Tabela1[[#This Row],[MRI vol]]</f>
        <v>0.31578947368421051</v>
      </c>
      <c r="F167" s="17"/>
      <c r="G167" s="17"/>
      <c r="H167" s="17">
        <v>19</v>
      </c>
      <c r="I167" s="17">
        <v>4</v>
      </c>
      <c r="J167" s="17"/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7</v>
      </c>
      <c r="R167" s="20">
        <v>2</v>
      </c>
      <c r="S167" s="17"/>
      <c r="T167" s="17"/>
      <c r="U167" s="20">
        <v>0</v>
      </c>
      <c r="V167" s="17"/>
      <c r="W167" s="17"/>
      <c r="X167" s="17">
        <v>2</v>
      </c>
      <c r="Y167" s="17">
        <v>2</v>
      </c>
      <c r="Z167" s="17">
        <v>2</v>
      </c>
      <c r="AA167" s="17">
        <v>0</v>
      </c>
      <c r="AB167" s="17">
        <v>0</v>
      </c>
      <c r="AC167" s="17">
        <v>0</v>
      </c>
      <c r="AD167" s="17">
        <v>0</v>
      </c>
      <c r="AE167" s="17">
        <v>0</v>
      </c>
      <c r="AF167" s="17">
        <v>0</v>
      </c>
      <c r="AG167" s="17">
        <v>0</v>
      </c>
      <c r="AH167" s="17">
        <v>0</v>
      </c>
      <c r="AI167" s="17" t="s">
        <v>53</v>
      </c>
      <c r="AJ167" s="17"/>
      <c r="AK167" s="21"/>
    </row>
    <row r="168" spans="1:37" x14ac:dyDescent="0.25">
      <c r="A168" s="12" t="s">
        <v>262</v>
      </c>
      <c r="B168" s="12">
        <v>57</v>
      </c>
      <c r="C168" s="12">
        <v>5.8</v>
      </c>
      <c r="D168" s="27">
        <v>42305</v>
      </c>
      <c r="E168" s="14">
        <f>[1]!Tabela1[[#This Row],[PSA]]/[1]!Tabela1[[#This Row],[MRI vol]]</f>
        <v>0.1380952380952381</v>
      </c>
      <c r="F168" s="12"/>
      <c r="G168" s="12"/>
      <c r="H168" s="12">
        <v>42</v>
      </c>
      <c r="I168" s="12">
        <v>4</v>
      </c>
      <c r="J168" s="12"/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8</v>
      </c>
      <c r="R168" s="15"/>
      <c r="S168" s="12"/>
      <c r="T168" s="12"/>
      <c r="U168" s="12"/>
      <c r="V168" s="12"/>
      <c r="W168" s="12"/>
      <c r="X168" s="12"/>
      <c r="Y168" s="12"/>
      <c r="Z168" s="12"/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 t="s">
        <v>53</v>
      </c>
      <c r="AJ168" s="12"/>
      <c r="AK168" s="16"/>
    </row>
    <row r="169" spans="1:37" x14ac:dyDescent="0.25">
      <c r="A169" s="17" t="s">
        <v>263</v>
      </c>
      <c r="B169" s="17">
        <v>55</v>
      </c>
      <c r="C169" s="17">
        <v>19</v>
      </c>
      <c r="D169" s="28">
        <v>44181</v>
      </c>
      <c r="E169" s="19">
        <f>[1]!Tabela1[[#This Row],[PSA]]/[1]!Tabela1[[#This Row],[MRI vol]]</f>
        <v>0.6333333333333333</v>
      </c>
      <c r="F169" s="17"/>
      <c r="G169" s="17"/>
      <c r="H169" s="17">
        <v>30</v>
      </c>
      <c r="I169" s="17">
        <v>2</v>
      </c>
      <c r="J169" s="17"/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/>
      <c r="R169" s="20">
        <v>2</v>
      </c>
      <c r="S169" s="17"/>
      <c r="T169" s="17"/>
      <c r="U169" s="20">
        <v>1</v>
      </c>
      <c r="V169" s="17"/>
      <c r="W169" s="17"/>
      <c r="X169" s="17">
        <v>3</v>
      </c>
      <c r="Y169" s="17">
        <v>3</v>
      </c>
      <c r="Z169" s="17">
        <v>3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 t="s">
        <v>53</v>
      </c>
      <c r="AJ169" s="17"/>
      <c r="AK169" s="21"/>
    </row>
    <row r="170" spans="1:37" x14ac:dyDescent="0.25">
      <c r="A170" s="12" t="s">
        <v>264</v>
      </c>
      <c r="B170" s="12">
        <v>59</v>
      </c>
      <c r="C170" s="12">
        <v>6.6</v>
      </c>
      <c r="D170" s="27">
        <v>42983</v>
      </c>
      <c r="E170" s="14">
        <f>[1]!Tabela1[[#This Row],[PSA]]/[1]!Tabela1[[#This Row],[MRI vol]]</f>
        <v>0.34736842105263155</v>
      </c>
      <c r="F170" s="12"/>
      <c r="G170" s="12"/>
      <c r="H170" s="12">
        <v>19</v>
      </c>
      <c r="I170" s="12">
        <v>3</v>
      </c>
      <c r="J170" s="12"/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9</v>
      </c>
      <c r="R170" s="15">
        <v>1</v>
      </c>
      <c r="S170" s="12"/>
      <c r="T170" s="12"/>
      <c r="U170" s="15">
        <v>1</v>
      </c>
      <c r="V170" s="12"/>
      <c r="W170" s="12"/>
      <c r="X170" s="12">
        <v>2</v>
      </c>
      <c r="Y170" s="12">
        <v>2</v>
      </c>
      <c r="Z170" s="12">
        <v>3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 t="s">
        <v>53</v>
      </c>
      <c r="AJ170" s="12"/>
      <c r="AK170" s="16"/>
    </row>
    <row r="171" spans="1:37" x14ac:dyDescent="0.25">
      <c r="A171" s="17" t="s">
        <v>265</v>
      </c>
      <c r="B171" s="17">
        <v>66</v>
      </c>
      <c r="C171" s="17">
        <v>6.7</v>
      </c>
      <c r="D171" s="28">
        <v>43549</v>
      </c>
      <c r="E171" s="19">
        <f>[1]!Tabela1[[#This Row],[PSA]]/[1]!Tabela1[[#This Row],[MRI vol]]</f>
        <v>9.1780821917808217E-2</v>
      </c>
      <c r="F171" s="17"/>
      <c r="G171" s="17"/>
      <c r="H171" s="17">
        <v>73</v>
      </c>
      <c r="I171" s="17">
        <v>3</v>
      </c>
      <c r="J171" s="17"/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1</v>
      </c>
      <c r="S171" s="17"/>
      <c r="T171" s="17"/>
      <c r="U171" s="20">
        <v>0</v>
      </c>
      <c r="V171" s="17"/>
      <c r="W171" s="17"/>
      <c r="X171" s="17">
        <v>1</v>
      </c>
      <c r="Y171" s="17">
        <v>1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 t="s">
        <v>130</v>
      </c>
      <c r="AJ171" s="17"/>
      <c r="AK171" s="21"/>
    </row>
    <row r="172" spans="1:37" x14ac:dyDescent="0.25">
      <c r="A172" s="12" t="s">
        <v>266</v>
      </c>
      <c r="B172" s="12">
        <v>69</v>
      </c>
      <c r="C172" s="12">
        <v>13</v>
      </c>
      <c r="D172" s="27">
        <v>43845</v>
      </c>
      <c r="E172" s="14">
        <f>[1]!Tabela1[[#This Row],[PSA]]/[1]!Tabela1[[#This Row],[MRI vol]]</f>
        <v>0.15116279069767441</v>
      </c>
      <c r="F172" s="12"/>
      <c r="G172" s="12"/>
      <c r="H172" s="12">
        <v>86</v>
      </c>
      <c r="I172" s="12">
        <v>4</v>
      </c>
      <c r="J172" s="12"/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5</v>
      </c>
      <c r="R172" s="15">
        <v>3</v>
      </c>
      <c r="S172" s="12"/>
      <c r="T172" s="12"/>
      <c r="U172" s="15">
        <v>0</v>
      </c>
      <c r="V172" s="12"/>
      <c r="W172" s="12"/>
      <c r="X172" s="12">
        <v>3</v>
      </c>
      <c r="Y172" s="12">
        <v>3</v>
      </c>
      <c r="Z172" s="12">
        <v>2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 t="s">
        <v>53</v>
      </c>
      <c r="AJ172" s="12"/>
      <c r="AK172" s="16"/>
    </row>
    <row r="173" spans="1:37" x14ac:dyDescent="0.25">
      <c r="A173" s="17" t="s">
        <v>267</v>
      </c>
      <c r="B173" s="17">
        <v>71</v>
      </c>
      <c r="C173" s="17">
        <v>15.5</v>
      </c>
      <c r="D173" s="28">
        <v>44161</v>
      </c>
      <c r="E173" s="19">
        <f>[1]!Tabela1[[#This Row],[PSA]]/[1]!Tabela1[[#This Row],[MRI vol]]</f>
        <v>0.15048543689320387</v>
      </c>
      <c r="F173" s="17"/>
      <c r="G173" s="17"/>
      <c r="H173" s="17">
        <v>103</v>
      </c>
      <c r="I173" s="17">
        <v>5</v>
      </c>
      <c r="J173" s="17"/>
      <c r="K173" s="20">
        <v>1</v>
      </c>
      <c r="L173" s="20">
        <v>0</v>
      </c>
      <c r="M173" s="20">
        <v>1</v>
      </c>
      <c r="N173" s="20">
        <v>0</v>
      </c>
      <c r="O173" s="20">
        <v>0</v>
      </c>
      <c r="P173" s="20">
        <v>0</v>
      </c>
      <c r="Q173" s="20">
        <v>25</v>
      </c>
      <c r="R173" s="20">
        <v>4</v>
      </c>
      <c r="S173" s="17"/>
      <c r="T173" s="17"/>
      <c r="U173" s="20">
        <v>0</v>
      </c>
      <c r="V173" s="17"/>
      <c r="W173" s="17"/>
      <c r="X173" s="17">
        <v>4</v>
      </c>
      <c r="Y173" s="17">
        <v>4</v>
      </c>
      <c r="Z173" s="17">
        <v>0</v>
      </c>
      <c r="AA173" s="17">
        <v>0</v>
      </c>
      <c r="AB173" s="17">
        <v>0</v>
      </c>
      <c r="AC173" s="17">
        <v>1</v>
      </c>
      <c r="AD173" s="17">
        <v>0</v>
      </c>
      <c r="AE173" s="17">
        <v>1</v>
      </c>
      <c r="AF173" s="17">
        <v>1</v>
      </c>
      <c r="AG173" s="17">
        <v>0</v>
      </c>
      <c r="AH173" s="17">
        <v>1</v>
      </c>
      <c r="AI173" s="17" t="s">
        <v>72</v>
      </c>
      <c r="AJ173" s="17"/>
      <c r="AK173" s="21"/>
    </row>
    <row r="174" spans="1:37" x14ac:dyDescent="0.25">
      <c r="A174" s="12" t="s">
        <v>268</v>
      </c>
      <c r="B174" s="12">
        <v>74</v>
      </c>
      <c r="C174" s="12">
        <v>6.6</v>
      </c>
      <c r="D174" s="27">
        <v>43364</v>
      </c>
      <c r="E174" s="14">
        <f>[1]!Tabela1[[#This Row],[PSA]]/[1]!Tabela1[[#This Row],[MRI vol]]</f>
        <v>8.3544303797468356E-2</v>
      </c>
      <c r="F174" s="12"/>
      <c r="G174" s="12"/>
      <c r="H174" s="12">
        <v>79</v>
      </c>
      <c r="I174" s="12">
        <v>4</v>
      </c>
      <c r="J174" s="12"/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12</v>
      </c>
      <c r="R174" s="15">
        <v>0</v>
      </c>
      <c r="S174" s="12"/>
      <c r="T174" s="12"/>
      <c r="U174" s="15">
        <v>3</v>
      </c>
      <c r="V174" s="12"/>
      <c r="W174" s="12"/>
      <c r="X174" s="12">
        <v>2</v>
      </c>
      <c r="Y174" s="12">
        <v>2</v>
      </c>
      <c r="Z174" s="12">
        <v>2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1</v>
      </c>
      <c r="AG174" s="12">
        <v>1</v>
      </c>
      <c r="AH174" s="12">
        <v>0</v>
      </c>
      <c r="AI174" s="12" t="s">
        <v>72</v>
      </c>
      <c r="AJ174" s="12"/>
      <c r="AK174" s="16"/>
    </row>
    <row r="175" spans="1:37" x14ac:dyDescent="0.25">
      <c r="A175" s="17" t="s">
        <v>269</v>
      </c>
      <c r="B175" s="17">
        <v>72</v>
      </c>
      <c r="C175" s="17">
        <v>5.0999999999999996</v>
      </c>
      <c r="D175" s="28">
        <v>44176</v>
      </c>
      <c r="E175" s="19">
        <f>[1]!Tabela1[[#This Row],[PSA]]/[1]!Tabela1[[#This Row],[MRI vol]]</f>
        <v>8.7931034482758616E-2</v>
      </c>
      <c r="F175" s="17"/>
      <c r="G175" s="17"/>
      <c r="H175" s="17">
        <v>58</v>
      </c>
      <c r="I175" s="17">
        <v>4</v>
      </c>
      <c r="J175" s="17"/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14</v>
      </c>
      <c r="R175" s="20">
        <v>1</v>
      </c>
      <c r="S175" s="17"/>
      <c r="T175" s="17"/>
      <c r="U175" s="20">
        <v>1</v>
      </c>
      <c r="V175" s="17"/>
      <c r="W175" s="17"/>
      <c r="X175" s="17">
        <v>2</v>
      </c>
      <c r="Y175" s="17">
        <v>2</v>
      </c>
      <c r="Z175" s="17">
        <v>2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 t="s">
        <v>53</v>
      </c>
      <c r="AJ175" s="17"/>
      <c r="AK175" s="21"/>
    </row>
    <row r="176" spans="1:37" x14ac:dyDescent="0.25">
      <c r="A176" s="12" t="s">
        <v>270</v>
      </c>
      <c r="B176" s="12">
        <v>56</v>
      </c>
      <c r="C176" s="12">
        <v>5.3</v>
      </c>
      <c r="D176" s="27">
        <v>42927</v>
      </c>
      <c r="E176" s="14">
        <f>[1]!Tabela1[[#This Row],[PSA]]/[1]!Tabela1[[#This Row],[MRI vol]]</f>
        <v>0.1962962962962963</v>
      </c>
      <c r="F176" s="12"/>
      <c r="G176" s="12"/>
      <c r="H176" s="12">
        <v>27</v>
      </c>
      <c r="I176" s="12">
        <v>5</v>
      </c>
      <c r="J176" s="12"/>
      <c r="K176" s="15">
        <v>1</v>
      </c>
      <c r="L176" s="15">
        <v>1</v>
      </c>
      <c r="M176" s="15">
        <v>1</v>
      </c>
      <c r="N176" s="15">
        <v>0</v>
      </c>
      <c r="O176" s="15">
        <v>0</v>
      </c>
      <c r="P176" s="15">
        <v>0</v>
      </c>
      <c r="Q176" s="15">
        <v>15</v>
      </c>
      <c r="R176" s="15">
        <v>2</v>
      </c>
      <c r="S176" s="12"/>
      <c r="T176" s="12"/>
      <c r="U176" s="15">
        <v>1</v>
      </c>
      <c r="V176" s="12"/>
      <c r="W176" s="12"/>
      <c r="X176" s="12">
        <v>1</v>
      </c>
      <c r="Y176" s="12">
        <v>1</v>
      </c>
      <c r="Z176" s="12">
        <v>1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 t="s">
        <v>53</v>
      </c>
      <c r="AJ176" s="12"/>
      <c r="AK176" s="16"/>
    </row>
    <row r="177" spans="1:37" x14ac:dyDescent="0.25">
      <c r="A177" s="17" t="s">
        <v>271</v>
      </c>
      <c r="B177" s="17">
        <v>49</v>
      </c>
      <c r="C177" s="17">
        <v>8.1</v>
      </c>
      <c r="D177" s="28">
        <v>42576</v>
      </c>
      <c r="E177" s="19">
        <f>[1]!Tabela1[[#This Row],[PSA]]/[1]!Tabela1[[#This Row],[MRI vol]]</f>
        <v>0.26129032258064516</v>
      </c>
      <c r="F177" s="17"/>
      <c r="G177" s="17"/>
      <c r="H177" s="17">
        <v>31</v>
      </c>
      <c r="I177" s="17">
        <v>5</v>
      </c>
      <c r="J177" s="17"/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11</v>
      </c>
      <c r="R177" s="20">
        <v>1</v>
      </c>
      <c r="S177" s="17"/>
      <c r="T177" s="17"/>
      <c r="U177" s="20">
        <v>1</v>
      </c>
      <c r="V177" s="17"/>
      <c r="W177" s="17"/>
      <c r="X177" s="17">
        <v>1</v>
      </c>
      <c r="Y177" s="17">
        <v>1</v>
      </c>
      <c r="Z177" s="17">
        <v>1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 t="s">
        <v>53</v>
      </c>
      <c r="AJ177" s="17"/>
      <c r="AK177" s="21"/>
    </row>
    <row r="178" spans="1:37" x14ac:dyDescent="0.25">
      <c r="A178" s="12" t="s">
        <v>272</v>
      </c>
      <c r="B178" s="12">
        <v>64</v>
      </c>
      <c r="C178" s="12">
        <v>7</v>
      </c>
      <c r="D178" s="27">
        <v>42356</v>
      </c>
      <c r="E178" s="14">
        <f>[1]!Tabela1[[#This Row],[PSA]]/[1]!Tabela1[[#This Row],[MRI vol]]</f>
        <v>0.23333333333333334</v>
      </c>
      <c r="F178" s="12"/>
      <c r="G178" s="12"/>
      <c r="H178" s="12">
        <v>30</v>
      </c>
      <c r="I178" s="12">
        <v>4</v>
      </c>
      <c r="J178" s="12"/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12</v>
      </c>
      <c r="R178" s="15">
        <v>0</v>
      </c>
      <c r="S178" s="12"/>
      <c r="T178" s="12"/>
      <c r="U178" s="15">
        <v>2</v>
      </c>
      <c r="V178" s="12"/>
      <c r="W178" s="12"/>
      <c r="X178" s="12">
        <v>2</v>
      </c>
      <c r="Y178" s="12">
        <v>2</v>
      </c>
      <c r="Z178" s="12">
        <v>2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 t="s">
        <v>53</v>
      </c>
      <c r="AJ178" s="12"/>
      <c r="AK178" s="16"/>
    </row>
    <row r="179" spans="1:37" x14ac:dyDescent="0.25">
      <c r="A179" s="17" t="s">
        <v>273</v>
      </c>
      <c r="B179" s="17">
        <v>62</v>
      </c>
      <c r="C179" s="17">
        <v>28</v>
      </c>
      <c r="D179" s="28">
        <v>43924</v>
      </c>
      <c r="E179" s="19">
        <f>[1]!Tabela1[[#This Row],[PSA]]/[1]!Tabela1[[#This Row],[MRI vol]]</f>
        <v>1</v>
      </c>
      <c r="F179" s="17"/>
      <c r="G179" s="17"/>
      <c r="H179" s="17">
        <v>28</v>
      </c>
      <c r="I179" s="17">
        <v>5</v>
      </c>
      <c r="J179" s="17"/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20</v>
      </c>
      <c r="R179" s="20">
        <v>0</v>
      </c>
      <c r="S179" s="17"/>
      <c r="T179" s="17"/>
      <c r="U179" s="20">
        <v>1</v>
      </c>
      <c r="V179" s="17"/>
      <c r="W179" s="17"/>
      <c r="X179" s="17">
        <v>2</v>
      </c>
      <c r="Y179" s="17">
        <v>2</v>
      </c>
      <c r="Z179" s="17">
        <v>2</v>
      </c>
      <c r="AA179" s="17">
        <v>0</v>
      </c>
      <c r="AB179" s="17">
        <v>0</v>
      </c>
      <c r="AC179" s="17">
        <v>1</v>
      </c>
      <c r="AD179" s="17">
        <v>1</v>
      </c>
      <c r="AE179" s="17">
        <v>0</v>
      </c>
      <c r="AF179" s="17">
        <v>0</v>
      </c>
      <c r="AG179" s="17">
        <v>0</v>
      </c>
      <c r="AH179" s="17">
        <v>0</v>
      </c>
      <c r="AI179" s="17" t="s">
        <v>47</v>
      </c>
      <c r="AJ179" s="17"/>
      <c r="AK179" s="21"/>
    </row>
    <row r="180" spans="1:37" x14ac:dyDescent="0.25">
      <c r="A180" s="12" t="s">
        <v>274</v>
      </c>
      <c r="B180" s="12">
        <v>64</v>
      </c>
      <c r="C180" s="12">
        <v>9</v>
      </c>
      <c r="D180" s="27">
        <v>43298</v>
      </c>
      <c r="E180" s="14">
        <f>[1]!Tabela1[[#This Row],[PSA]]/[1]!Tabela1[[#This Row],[MRI vol]]</f>
        <v>0.3</v>
      </c>
      <c r="F180" s="12"/>
      <c r="G180" s="12"/>
      <c r="H180" s="12">
        <v>30</v>
      </c>
      <c r="I180" s="12">
        <v>5</v>
      </c>
      <c r="J180" s="12"/>
      <c r="K180" s="15">
        <v>1</v>
      </c>
      <c r="L180" s="15">
        <v>1</v>
      </c>
      <c r="M180" s="15">
        <v>1</v>
      </c>
      <c r="N180" s="15">
        <v>1</v>
      </c>
      <c r="O180" s="15">
        <v>1</v>
      </c>
      <c r="P180" s="15">
        <v>1</v>
      </c>
      <c r="Q180" s="15">
        <v>37</v>
      </c>
      <c r="R180" s="15">
        <v>2</v>
      </c>
      <c r="S180" s="12"/>
      <c r="T180" s="12"/>
      <c r="U180" s="15">
        <v>2</v>
      </c>
      <c r="V180" s="12"/>
      <c r="W180" s="12"/>
      <c r="X180" s="12">
        <v>5</v>
      </c>
      <c r="Y180" s="12">
        <v>5</v>
      </c>
      <c r="Z180" s="12">
        <v>5</v>
      </c>
      <c r="AA180" s="12">
        <v>1</v>
      </c>
      <c r="AB180" s="12">
        <v>0</v>
      </c>
      <c r="AC180" s="12">
        <v>1</v>
      </c>
      <c r="AD180" s="12">
        <v>1</v>
      </c>
      <c r="AE180" s="12">
        <v>1</v>
      </c>
      <c r="AF180" s="12">
        <v>1</v>
      </c>
      <c r="AG180" s="12">
        <v>1</v>
      </c>
      <c r="AH180" s="12">
        <v>1</v>
      </c>
      <c r="AI180" s="12" t="s">
        <v>72</v>
      </c>
      <c r="AJ180" s="12"/>
      <c r="AK180" s="16"/>
    </row>
    <row r="181" spans="1:37" x14ac:dyDescent="0.25">
      <c r="A181" s="17" t="s">
        <v>275</v>
      </c>
      <c r="B181" s="17">
        <v>64</v>
      </c>
      <c r="C181" s="17">
        <v>4.5</v>
      </c>
      <c r="D181" s="28">
        <v>43207</v>
      </c>
      <c r="E181" s="19">
        <f>[1]!Tabela1[[#This Row],[PSA]]/[1]!Tabela1[[#This Row],[MRI vol]]</f>
        <v>7.6271186440677971E-2</v>
      </c>
      <c r="F181" s="17"/>
      <c r="G181" s="17"/>
      <c r="H181" s="17">
        <v>59</v>
      </c>
      <c r="I181" s="17">
        <v>5</v>
      </c>
      <c r="J181" s="17"/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30</v>
      </c>
      <c r="R181" s="20">
        <v>3</v>
      </c>
      <c r="S181" s="17"/>
      <c r="T181" s="17"/>
      <c r="U181" s="20">
        <v>4</v>
      </c>
      <c r="V181" s="17"/>
      <c r="W181" s="17"/>
      <c r="X181" s="17">
        <v>5</v>
      </c>
      <c r="Y181" s="17">
        <v>5</v>
      </c>
      <c r="Z181" s="17">
        <v>5</v>
      </c>
      <c r="AA181" s="17">
        <v>0</v>
      </c>
      <c r="AB181" s="17">
        <v>0</v>
      </c>
      <c r="AC181" s="17">
        <v>1</v>
      </c>
      <c r="AD181" s="17">
        <v>0</v>
      </c>
      <c r="AE181" s="17">
        <v>1</v>
      </c>
      <c r="AF181" s="17">
        <v>1</v>
      </c>
      <c r="AG181" s="17">
        <v>1</v>
      </c>
      <c r="AH181" s="17">
        <v>1</v>
      </c>
      <c r="AI181" s="17" t="s">
        <v>72</v>
      </c>
      <c r="AJ181" s="17"/>
      <c r="AK181" s="21"/>
    </row>
    <row r="182" spans="1:37" x14ac:dyDescent="0.25">
      <c r="A182" s="12" t="s">
        <v>276</v>
      </c>
      <c r="B182" s="12">
        <v>65</v>
      </c>
      <c r="C182" s="12">
        <v>8.4</v>
      </c>
      <c r="D182" s="27">
        <v>43235</v>
      </c>
      <c r="E182" s="14">
        <f>[1]!Tabela1[[#This Row],[PSA]]/[1]!Tabela1[[#This Row],[MRI vol]]</f>
        <v>0.36521739130434783</v>
      </c>
      <c r="F182" s="12"/>
      <c r="G182" s="12"/>
      <c r="H182" s="12">
        <v>23</v>
      </c>
      <c r="I182" s="12">
        <v>5</v>
      </c>
      <c r="J182" s="12"/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20</v>
      </c>
      <c r="R182" s="15">
        <v>2</v>
      </c>
      <c r="S182" s="12"/>
      <c r="T182" s="12"/>
      <c r="U182" s="15">
        <v>2</v>
      </c>
      <c r="V182" s="12"/>
      <c r="W182" s="12"/>
      <c r="X182" s="12">
        <v>3</v>
      </c>
      <c r="Y182" s="12">
        <v>3</v>
      </c>
      <c r="Z182" s="12">
        <v>3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 t="s">
        <v>53</v>
      </c>
      <c r="AJ182" s="12"/>
      <c r="AK182" s="16"/>
    </row>
    <row r="183" spans="1:37" x14ac:dyDescent="0.25">
      <c r="A183" s="17" t="s">
        <v>277</v>
      </c>
      <c r="B183" s="17">
        <v>63</v>
      </c>
      <c r="C183" s="17">
        <v>6.8</v>
      </c>
      <c r="D183" s="28">
        <v>42860</v>
      </c>
      <c r="E183" s="19">
        <f>[1]!Tabela1[[#This Row],[PSA]]/[1]!Tabela1[[#This Row],[MRI vol]]</f>
        <v>0.17435897435897435</v>
      </c>
      <c r="F183" s="17"/>
      <c r="G183" s="17"/>
      <c r="H183" s="17">
        <v>39</v>
      </c>
      <c r="I183" s="17">
        <v>4</v>
      </c>
      <c r="J183" s="17"/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13</v>
      </c>
      <c r="R183" s="20">
        <v>1</v>
      </c>
      <c r="S183" s="17"/>
      <c r="T183" s="17"/>
      <c r="U183" s="20">
        <v>0</v>
      </c>
      <c r="V183" s="17"/>
      <c r="W183" s="17"/>
      <c r="X183" s="17">
        <v>4</v>
      </c>
      <c r="Y183" s="17">
        <v>4</v>
      </c>
      <c r="Z183" s="17">
        <v>4</v>
      </c>
      <c r="AA183" s="17">
        <v>0</v>
      </c>
      <c r="AB183" s="17">
        <v>0</v>
      </c>
      <c r="AC183" s="17">
        <v>1</v>
      </c>
      <c r="AD183" s="17">
        <v>0</v>
      </c>
      <c r="AE183" s="17">
        <v>1</v>
      </c>
      <c r="AF183" s="17">
        <v>0</v>
      </c>
      <c r="AG183" s="17">
        <v>0</v>
      </c>
      <c r="AH183" s="17">
        <v>0</v>
      </c>
      <c r="AI183" s="17" t="s">
        <v>47</v>
      </c>
      <c r="AJ183" s="17"/>
      <c r="AK183" s="21"/>
    </row>
    <row r="184" spans="1:37" x14ac:dyDescent="0.25">
      <c r="A184" s="12" t="s">
        <v>278</v>
      </c>
      <c r="B184" s="12">
        <v>66</v>
      </c>
      <c r="C184" s="12">
        <v>12</v>
      </c>
      <c r="D184" s="27">
        <v>42802</v>
      </c>
      <c r="E184" s="14">
        <f>[1]!Tabela1[[#This Row],[PSA]]/[1]!Tabela1[[#This Row],[MRI vol]]</f>
        <v>0.22641509433962265</v>
      </c>
      <c r="F184" s="12"/>
      <c r="G184" s="12"/>
      <c r="H184" s="12">
        <v>53</v>
      </c>
      <c r="I184" s="12">
        <v>5</v>
      </c>
      <c r="J184" s="12"/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15</v>
      </c>
      <c r="R184" s="15">
        <v>3</v>
      </c>
      <c r="S184" s="12"/>
      <c r="T184" s="12"/>
      <c r="U184" s="15">
        <v>3</v>
      </c>
      <c r="V184" s="12"/>
      <c r="W184" s="12"/>
      <c r="X184" s="12">
        <v>5</v>
      </c>
      <c r="Y184" s="12">
        <v>5</v>
      </c>
      <c r="Z184" s="12">
        <v>5</v>
      </c>
      <c r="AA184" s="12">
        <v>0</v>
      </c>
      <c r="AB184" s="12">
        <v>1</v>
      </c>
      <c r="AC184" s="12">
        <v>1</v>
      </c>
      <c r="AD184" s="12">
        <v>1</v>
      </c>
      <c r="AE184" s="12">
        <v>1</v>
      </c>
      <c r="AF184" s="12">
        <v>1</v>
      </c>
      <c r="AG184" s="12">
        <v>1</v>
      </c>
      <c r="AH184" s="12">
        <v>1</v>
      </c>
      <c r="AI184" s="12" t="s">
        <v>72</v>
      </c>
      <c r="AJ184" s="12"/>
      <c r="AK184" s="16"/>
    </row>
    <row r="185" spans="1:37" x14ac:dyDescent="0.25">
      <c r="A185" s="17" t="s">
        <v>279</v>
      </c>
      <c r="B185" s="17">
        <v>70</v>
      </c>
      <c r="C185" s="17">
        <v>8.8000000000000007</v>
      </c>
      <c r="D185" s="28">
        <v>44061</v>
      </c>
      <c r="E185" s="19">
        <f>[1]!Tabela1[[#This Row],[PSA]]/[1]!Tabela1[[#This Row],[MRI vol]]</f>
        <v>0.15438596491228071</v>
      </c>
      <c r="F185" s="17"/>
      <c r="G185" s="17"/>
      <c r="H185" s="17">
        <v>57</v>
      </c>
      <c r="I185" s="17">
        <v>4</v>
      </c>
      <c r="J185" s="17"/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8</v>
      </c>
      <c r="R185" s="20">
        <v>2</v>
      </c>
      <c r="S185" s="17"/>
      <c r="T185" s="17"/>
      <c r="U185" s="20">
        <v>0</v>
      </c>
      <c r="V185" s="17"/>
      <c r="W185" s="17"/>
      <c r="X185" s="17">
        <v>3</v>
      </c>
      <c r="Y185" s="17">
        <v>3</v>
      </c>
      <c r="Z185" s="17">
        <v>3</v>
      </c>
      <c r="AA185" s="17">
        <v>0</v>
      </c>
      <c r="AB185" s="17">
        <v>0</v>
      </c>
      <c r="AC185" s="17">
        <v>0</v>
      </c>
      <c r="AD185" s="17">
        <v>0</v>
      </c>
      <c r="AE185" s="17">
        <v>0</v>
      </c>
      <c r="AF185" s="17">
        <v>0</v>
      </c>
      <c r="AG185" s="17">
        <v>0</v>
      </c>
      <c r="AH185" s="17">
        <v>0</v>
      </c>
      <c r="AI185" s="17" t="s">
        <v>53</v>
      </c>
      <c r="AJ185" s="17"/>
      <c r="AK185" s="21"/>
    </row>
    <row r="186" spans="1:37" x14ac:dyDescent="0.25">
      <c r="A186" s="12" t="s">
        <v>280</v>
      </c>
      <c r="B186" s="12">
        <v>64</v>
      </c>
      <c r="C186" s="12">
        <v>7.3</v>
      </c>
      <c r="D186" s="27">
        <v>43010</v>
      </c>
      <c r="E186" s="14">
        <f>[1]!Tabela1[[#This Row],[PSA]]/[1]!Tabela1[[#This Row],[MRI vol]]</f>
        <v>0.19210526315789472</v>
      </c>
      <c r="F186" s="12"/>
      <c r="G186" s="12"/>
      <c r="H186" s="12">
        <v>38</v>
      </c>
      <c r="I186" s="12">
        <v>4</v>
      </c>
      <c r="J186" s="12"/>
      <c r="K186" s="15">
        <v>1</v>
      </c>
      <c r="L186" s="15">
        <v>0</v>
      </c>
      <c r="M186" s="15">
        <v>1</v>
      </c>
      <c r="N186" s="15">
        <v>0</v>
      </c>
      <c r="O186" s="15">
        <v>0</v>
      </c>
      <c r="P186" s="15">
        <v>0</v>
      </c>
      <c r="Q186" s="15">
        <v>14</v>
      </c>
      <c r="R186" s="15">
        <v>3</v>
      </c>
      <c r="S186" s="12"/>
      <c r="T186" s="12"/>
      <c r="U186" s="15">
        <v>0</v>
      </c>
      <c r="V186" s="12"/>
      <c r="W186" s="12"/>
      <c r="X186" s="12">
        <v>3</v>
      </c>
      <c r="Y186" s="12">
        <v>3</v>
      </c>
      <c r="Z186" s="12">
        <v>3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 t="s">
        <v>53</v>
      </c>
      <c r="AJ186" s="12"/>
      <c r="AK186" s="16"/>
    </row>
    <row r="187" spans="1:37" x14ac:dyDescent="0.25">
      <c r="A187" s="17" t="s">
        <v>281</v>
      </c>
      <c r="B187" s="17">
        <v>57</v>
      </c>
      <c r="C187" s="17">
        <v>4.8</v>
      </c>
      <c r="D187" s="28">
        <v>42942</v>
      </c>
      <c r="E187" s="19">
        <f>[1]!Tabela1[[#This Row],[PSA]]/[1]!Tabela1[[#This Row],[MRI vol]]</f>
        <v>0.16551724137931034</v>
      </c>
      <c r="F187" s="17"/>
      <c r="G187" s="17"/>
      <c r="H187" s="17">
        <v>29</v>
      </c>
      <c r="I187" s="17">
        <v>3</v>
      </c>
      <c r="J187" s="17"/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9</v>
      </c>
      <c r="R187" s="20"/>
      <c r="S187" s="17"/>
      <c r="T187" s="17"/>
      <c r="U187" s="17"/>
      <c r="V187" s="17"/>
      <c r="W187" s="17"/>
      <c r="X187" s="17">
        <v>2</v>
      </c>
      <c r="Y187" s="17">
        <v>2</v>
      </c>
      <c r="Z187" s="17">
        <v>2</v>
      </c>
      <c r="AA187" s="17">
        <v>0</v>
      </c>
      <c r="AB187" s="17">
        <v>0</v>
      </c>
      <c r="AC187" s="17">
        <v>1</v>
      </c>
      <c r="AD187" s="17">
        <v>1</v>
      </c>
      <c r="AE187" s="17">
        <v>1</v>
      </c>
      <c r="AF187" s="17">
        <v>0</v>
      </c>
      <c r="AG187" s="17">
        <v>0</v>
      </c>
      <c r="AH187" s="17">
        <v>0</v>
      </c>
      <c r="AI187" s="17" t="s">
        <v>47</v>
      </c>
      <c r="AJ187" s="17"/>
      <c r="AK187" s="21"/>
    </row>
    <row r="188" spans="1:37" x14ac:dyDescent="0.25">
      <c r="A188" s="12" t="s">
        <v>282</v>
      </c>
      <c r="B188" s="12">
        <v>70</v>
      </c>
      <c r="C188" s="12">
        <v>17.399999999999999</v>
      </c>
      <c r="D188" s="27">
        <v>43164</v>
      </c>
      <c r="E188" s="14">
        <f>[1]!Tabela1[[#This Row],[PSA]]/[1]!Tabela1[[#This Row],[MRI vol]]</f>
        <v>0.48333333333333328</v>
      </c>
      <c r="F188" s="12"/>
      <c r="G188" s="12"/>
      <c r="H188" s="12">
        <v>36</v>
      </c>
      <c r="I188" s="12">
        <v>4</v>
      </c>
      <c r="J188" s="12"/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26</v>
      </c>
      <c r="R188" s="15">
        <v>1</v>
      </c>
      <c r="S188" s="12"/>
      <c r="T188" s="12"/>
      <c r="U188" s="15">
        <v>1</v>
      </c>
      <c r="V188" s="12"/>
      <c r="W188" s="12"/>
      <c r="X188" s="12">
        <v>3</v>
      </c>
      <c r="Y188" s="12">
        <v>3</v>
      </c>
      <c r="Z188" s="12">
        <v>3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 t="s">
        <v>53</v>
      </c>
      <c r="AJ188" s="12"/>
      <c r="AK188" s="16"/>
    </row>
    <row r="189" spans="1:37" x14ac:dyDescent="0.25">
      <c r="A189" s="17" t="s">
        <v>283</v>
      </c>
      <c r="B189" s="17">
        <v>72</v>
      </c>
      <c r="C189" s="17">
        <v>11.4</v>
      </c>
      <c r="D189" s="28">
        <v>42657</v>
      </c>
      <c r="E189" s="19">
        <f>[1]!Tabela1[[#This Row],[PSA]]/[1]!Tabela1[[#This Row],[MRI vol]]</f>
        <v>0.15</v>
      </c>
      <c r="F189" s="17"/>
      <c r="G189" s="17"/>
      <c r="H189" s="17">
        <v>76</v>
      </c>
      <c r="I189" s="17">
        <v>5</v>
      </c>
      <c r="J189" s="17"/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9</v>
      </c>
      <c r="R189" s="20">
        <v>2</v>
      </c>
      <c r="S189" s="17"/>
      <c r="T189" s="17"/>
      <c r="U189" s="20">
        <v>1</v>
      </c>
      <c r="V189" s="17"/>
      <c r="W189" s="17"/>
      <c r="X189" s="17">
        <v>1</v>
      </c>
      <c r="Y189" s="17">
        <v>1</v>
      </c>
      <c r="Z189" s="17">
        <v>1</v>
      </c>
      <c r="AA189" s="17">
        <v>1</v>
      </c>
      <c r="AB189" s="17">
        <v>0</v>
      </c>
      <c r="AC189" s="17">
        <v>1</v>
      </c>
      <c r="AD189" s="17">
        <v>1</v>
      </c>
      <c r="AE189" s="17">
        <v>0</v>
      </c>
      <c r="AF189" s="17">
        <v>0</v>
      </c>
      <c r="AG189" s="17">
        <v>0</v>
      </c>
      <c r="AH189" s="17">
        <v>0</v>
      </c>
      <c r="AI189" s="17" t="s">
        <v>47</v>
      </c>
      <c r="AJ189" s="17"/>
      <c r="AK189" s="21"/>
    </row>
    <row r="190" spans="1:37" x14ac:dyDescent="0.25">
      <c r="A190" s="12" t="s">
        <v>284</v>
      </c>
      <c r="B190" s="12">
        <v>62</v>
      </c>
      <c r="C190" s="12">
        <v>36</v>
      </c>
      <c r="D190" s="27">
        <v>43347</v>
      </c>
      <c r="E190" s="14">
        <f>[1]!Tabela1[[#This Row],[PSA]]/[1]!Tabela1[[#This Row],[MRI vol]]</f>
        <v>0.5714285714285714</v>
      </c>
      <c r="F190" s="12"/>
      <c r="G190" s="12"/>
      <c r="H190" s="12">
        <v>63</v>
      </c>
      <c r="I190" s="12">
        <v>4</v>
      </c>
      <c r="J190" s="12"/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18</v>
      </c>
      <c r="R190" s="15">
        <v>4</v>
      </c>
      <c r="S190" s="12"/>
      <c r="T190" s="12"/>
      <c r="U190" s="15">
        <v>1</v>
      </c>
      <c r="V190" s="12"/>
      <c r="W190" s="12"/>
      <c r="X190" s="12">
        <v>4</v>
      </c>
      <c r="Y190" s="12">
        <v>4</v>
      </c>
      <c r="Z190" s="12">
        <v>3</v>
      </c>
      <c r="AA190" s="12">
        <v>0</v>
      </c>
      <c r="AB190" s="12">
        <v>0</v>
      </c>
      <c r="AC190" s="12">
        <v>1</v>
      </c>
      <c r="AD190" s="12">
        <v>0</v>
      </c>
      <c r="AE190" s="12">
        <v>1</v>
      </c>
      <c r="AF190" s="12">
        <v>0</v>
      </c>
      <c r="AG190" s="12">
        <v>0</v>
      </c>
      <c r="AH190" s="12">
        <v>0</v>
      </c>
      <c r="AI190" s="12" t="s">
        <v>47</v>
      </c>
      <c r="AJ190" s="12"/>
      <c r="AK190" s="16"/>
    </row>
    <row r="191" spans="1:37" x14ac:dyDescent="0.25">
      <c r="A191" s="17" t="s">
        <v>285</v>
      </c>
      <c r="B191" s="17">
        <v>68</v>
      </c>
      <c r="C191" s="17">
        <v>11.2</v>
      </c>
      <c r="D191" s="28">
        <v>43335</v>
      </c>
      <c r="E191" s="19">
        <f>[1]!Tabela1[[#This Row],[PSA]]/[1]!Tabela1[[#This Row],[MRI vol]]</f>
        <v>0.32941176470588235</v>
      </c>
      <c r="F191" s="17"/>
      <c r="G191" s="17"/>
      <c r="H191" s="17">
        <v>34</v>
      </c>
      <c r="I191" s="17">
        <v>5</v>
      </c>
      <c r="J191" s="17"/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18</v>
      </c>
      <c r="R191" s="20">
        <v>0</v>
      </c>
      <c r="S191" s="17"/>
      <c r="T191" s="17"/>
      <c r="U191" s="20">
        <v>4</v>
      </c>
      <c r="V191" s="17"/>
      <c r="W191" s="17"/>
      <c r="X191" s="17">
        <v>4</v>
      </c>
      <c r="Y191" s="17">
        <v>4</v>
      </c>
      <c r="Z191" s="17">
        <v>4</v>
      </c>
      <c r="AA191" s="17">
        <v>1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 t="s">
        <v>53</v>
      </c>
      <c r="AJ191" s="17"/>
      <c r="AK191" s="21"/>
    </row>
    <row r="192" spans="1:37" x14ac:dyDescent="0.25">
      <c r="A192" s="12" t="s">
        <v>286</v>
      </c>
      <c r="B192" s="12">
        <v>75</v>
      </c>
      <c r="C192" s="12">
        <v>5.5</v>
      </c>
      <c r="D192" s="27">
        <v>42796</v>
      </c>
      <c r="E192" s="14">
        <f>[1]!Tabela1[[#This Row],[PSA]]/[1]!Tabela1[[#This Row],[MRI vol]]</f>
        <v>0.30555555555555558</v>
      </c>
      <c r="F192" s="12"/>
      <c r="G192" s="12"/>
      <c r="H192" s="12">
        <v>18</v>
      </c>
      <c r="I192" s="12">
        <v>3</v>
      </c>
      <c r="J192" s="12"/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12</v>
      </c>
      <c r="R192" s="15">
        <v>0</v>
      </c>
      <c r="S192" s="12"/>
      <c r="T192" s="12"/>
      <c r="U192" s="15">
        <v>2</v>
      </c>
      <c r="V192" s="12"/>
      <c r="W192" s="12"/>
      <c r="X192" s="12">
        <v>2</v>
      </c>
      <c r="Y192" s="12">
        <v>2</v>
      </c>
      <c r="Z192" s="12">
        <v>2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 t="s">
        <v>53</v>
      </c>
      <c r="AJ192" s="12"/>
      <c r="AK192" s="16"/>
    </row>
    <row r="193" spans="1:37" x14ac:dyDescent="0.25">
      <c r="A193" s="17" t="s">
        <v>287</v>
      </c>
      <c r="B193" s="17">
        <v>55</v>
      </c>
      <c r="C193" s="17">
        <v>6.6</v>
      </c>
      <c r="D193" s="28">
        <v>43326</v>
      </c>
      <c r="E193" s="19">
        <f>[1]!Tabela1[[#This Row],[PSA]]/[1]!Tabela1[[#This Row],[MRI vol]]</f>
        <v>0.10153846153846154</v>
      </c>
      <c r="F193" s="17"/>
      <c r="G193" s="17"/>
      <c r="H193" s="17">
        <v>65</v>
      </c>
      <c r="I193" s="17">
        <v>2</v>
      </c>
      <c r="J193" s="17"/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/>
      <c r="R193" s="20">
        <v>4</v>
      </c>
      <c r="S193" s="17"/>
      <c r="T193" s="17"/>
      <c r="U193" s="20">
        <v>0</v>
      </c>
      <c r="V193" s="17"/>
      <c r="W193" s="17"/>
      <c r="X193" s="17">
        <v>2</v>
      </c>
      <c r="Y193" s="17">
        <v>2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  <c r="AE193" s="17">
        <v>0</v>
      </c>
      <c r="AF193" s="17">
        <v>0</v>
      </c>
      <c r="AG193" s="17">
        <v>0</v>
      </c>
      <c r="AH193" s="17">
        <v>0</v>
      </c>
      <c r="AI193" s="17" t="s">
        <v>130</v>
      </c>
      <c r="AJ193" s="17"/>
      <c r="AK193" s="21"/>
    </row>
    <row r="194" spans="1:37" x14ac:dyDescent="0.25">
      <c r="A194" s="12" t="s">
        <v>288</v>
      </c>
      <c r="B194" s="12">
        <v>66</v>
      </c>
      <c r="C194" s="12">
        <v>5.5</v>
      </c>
      <c r="D194" s="27">
        <v>42495</v>
      </c>
      <c r="E194" s="14">
        <f>[1]!Tabela1[[#This Row],[PSA]]/[1]!Tabela1[[#This Row],[MRI vol]]</f>
        <v>0.16666666666666666</v>
      </c>
      <c r="F194" s="12"/>
      <c r="G194" s="12"/>
      <c r="H194" s="12">
        <v>33</v>
      </c>
      <c r="I194" s="12">
        <v>4</v>
      </c>
      <c r="J194" s="12"/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8</v>
      </c>
      <c r="R194" s="15">
        <v>3</v>
      </c>
      <c r="S194" s="12"/>
      <c r="T194" s="12"/>
      <c r="U194" s="15">
        <v>3</v>
      </c>
      <c r="V194" s="12"/>
      <c r="W194" s="12"/>
      <c r="X194" s="12">
        <v>2</v>
      </c>
      <c r="Y194" s="12">
        <v>2</v>
      </c>
      <c r="Z194" s="12">
        <v>2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 t="s">
        <v>53</v>
      </c>
      <c r="AJ194" s="12"/>
      <c r="AK194" s="16"/>
    </row>
    <row r="195" spans="1:37" x14ac:dyDescent="0.25">
      <c r="A195" s="17" t="s">
        <v>289</v>
      </c>
      <c r="B195" s="17">
        <v>68</v>
      </c>
      <c r="C195" s="17">
        <v>9.1</v>
      </c>
      <c r="D195" s="28">
        <v>43518</v>
      </c>
      <c r="E195" s="19" t="e">
        <f>[1]!Tabela1[[#This Row],[PSA]]/[1]!Tabela1[[#This Row],[MRI vol]]</f>
        <v>#DIV/0!</v>
      </c>
      <c r="F195" s="17"/>
      <c r="G195" s="17"/>
      <c r="H195" s="17"/>
      <c r="I195" s="17">
        <v>4</v>
      </c>
      <c r="J195" s="17"/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11</v>
      </c>
      <c r="R195" s="20">
        <v>1</v>
      </c>
      <c r="S195" s="17"/>
      <c r="T195" s="17"/>
      <c r="U195" s="20">
        <v>1</v>
      </c>
      <c r="V195" s="17"/>
      <c r="W195" s="17"/>
      <c r="X195" s="17">
        <v>2</v>
      </c>
      <c r="Y195" s="17">
        <v>2</v>
      </c>
      <c r="Z195" s="17">
        <v>1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 t="s">
        <v>53</v>
      </c>
      <c r="AJ195" s="17"/>
      <c r="AK195" s="21"/>
    </row>
    <row r="196" spans="1:37" x14ac:dyDescent="0.25">
      <c r="A196" s="12" t="s">
        <v>290</v>
      </c>
      <c r="B196" s="12">
        <v>63</v>
      </c>
      <c r="C196" s="12">
        <v>6</v>
      </c>
      <c r="D196" s="27">
        <v>42522</v>
      </c>
      <c r="E196" s="14">
        <f>[1]!Tabela1[[#This Row],[PSA]]/[1]!Tabela1[[#This Row],[MRI vol]]</f>
        <v>0.17142857142857143</v>
      </c>
      <c r="F196" s="12"/>
      <c r="G196" s="12"/>
      <c r="H196" s="12">
        <v>35</v>
      </c>
      <c r="I196" s="12">
        <v>5</v>
      </c>
      <c r="J196" s="12"/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12</v>
      </c>
      <c r="R196" s="15">
        <v>2</v>
      </c>
      <c r="S196" s="12"/>
      <c r="T196" s="12"/>
      <c r="U196" s="15">
        <v>0</v>
      </c>
      <c r="V196" s="12"/>
      <c r="W196" s="12"/>
      <c r="X196" s="12"/>
      <c r="Y196" s="12"/>
      <c r="Z196" s="12"/>
      <c r="AA196" s="12">
        <v>0</v>
      </c>
      <c r="AB196" s="12">
        <v>0</v>
      </c>
      <c r="AC196" s="12">
        <v>1</v>
      </c>
      <c r="AD196" s="12">
        <v>1</v>
      </c>
      <c r="AE196" s="12">
        <v>0</v>
      </c>
      <c r="AF196" s="12">
        <v>0</v>
      </c>
      <c r="AG196" s="12">
        <v>0</v>
      </c>
      <c r="AH196" s="12">
        <v>0</v>
      </c>
      <c r="AI196" s="12" t="s">
        <v>47</v>
      </c>
      <c r="AJ196" s="12"/>
      <c r="AK196" s="16"/>
    </row>
    <row r="197" spans="1:37" x14ac:dyDescent="0.25">
      <c r="A197" s="17" t="s">
        <v>291</v>
      </c>
      <c r="B197" s="17">
        <v>66</v>
      </c>
      <c r="C197" s="17">
        <v>4.7</v>
      </c>
      <c r="D197" s="28">
        <v>42949</v>
      </c>
      <c r="E197" s="19">
        <f>[1]!Tabela1[[#This Row],[PSA]]/[1]!Tabela1[[#This Row],[MRI vol]]</f>
        <v>0.23500000000000001</v>
      </c>
      <c r="F197" s="17"/>
      <c r="G197" s="17"/>
      <c r="H197" s="17">
        <v>20</v>
      </c>
      <c r="I197" s="17">
        <v>4</v>
      </c>
      <c r="J197" s="17"/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7</v>
      </c>
      <c r="R197" s="20">
        <v>2</v>
      </c>
      <c r="S197" s="17"/>
      <c r="T197" s="17"/>
      <c r="U197" s="20">
        <v>2</v>
      </c>
      <c r="V197" s="17"/>
      <c r="W197" s="17"/>
      <c r="X197" s="17">
        <v>2</v>
      </c>
      <c r="Y197" s="17">
        <v>2</v>
      </c>
      <c r="Z197" s="17">
        <v>2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 t="s">
        <v>53</v>
      </c>
      <c r="AJ197" s="17"/>
      <c r="AK197" s="21"/>
    </row>
    <row r="198" spans="1:37" x14ac:dyDescent="0.25">
      <c r="A198" s="12" t="s">
        <v>292</v>
      </c>
      <c r="B198" s="12">
        <v>74</v>
      </c>
      <c r="C198" s="12">
        <v>10.199999999999999</v>
      </c>
      <c r="D198" s="27">
        <v>42845</v>
      </c>
      <c r="E198" s="14">
        <f>[1]!Tabela1[[#This Row],[PSA]]/[1]!Tabela1[[#This Row],[MRI vol]]</f>
        <v>0.2615384615384615</v>
      </c>
      <c r="F198" s="12"/>
      <c r="G198" s="12"/>
      <c r="H198" s="12">
        <v>39</v>
      </c>
      <c r="I198" s="12">
        <v>5</v>
      </c>
      <c r="J198" s="12"/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34</v>
      </c>
      <c r="R198" s="15">
        <v>1</v>
      </c>
      <c r="S198" s="12"/>
      <c r="T198" s="12"/>
      <c r="U198" s="15">
        <v>0</v>
      </c>
      <c r="V198" s="12"/>
      <c r="W198" s="12"/>
      <c r="X198" s="12">
        <v>1</v>
      </c>
      <c r="Y198" s="12">
        <v>1</v>
      </c>
      <c r="Z198" s="12">
        <v>1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 t="s">
        <v>53</v>
      </c>
      <c r="AJ198" s="12"/>
      <c r="AK198" s="16"/>
    </row>
    <row r="199" spans="1:37" x14ac:dyDescent="0.25">
      <c r="A199" s="17" t="s">
        <v>293</v>
      </c>
      <c r="B199" s="17">
        <v>60</v>
      </c>
      <c r="C199" s="17">
        <v>6.4</v>
      </c>
      <c r="D199" s="28">
        <v>42866</v>
      </c>
      <c r="E199" s="19">
        <f>[1]!Tabela1[[#This Row],[PSA]]/[1]!Tabela1[[#This Row],[MRI vol]]</f>
        <v>0.35555555555555557</v>
      </c>
      <c r="F199" s="17"/>
      <c r="G199" s="17"/>
      <c r="H199" s="17">
        <v>18</v>
      </c>
      <c r="I199" s="17">
        <v>4</v>
      </c>
      <c r="J199" s="17"/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6</v>
      </c>
      <c r="R199" s="20">
        <v>0</v>
      </c>
      <c r="S199" s="17"/>
      <c r="T199" s="17"/>
      <c r="U199" s="20">
        <v>2</v>
      </c>
      <c r="V199" s="17"/>
      <c r="W199" s="17"/>
      <c r="X199" s="17">
        <v>1</v>
      </c>
      <c r="Y199" s="17">
        <v>0</v>
      </c>
      <c r="Z199" s="17">
        <v>1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  <c r="AG199" s="17">
        <v>0</v>
      </c>
      <c r="AH199" s="17">
        <v>0</v>
      </c>
      <c r="AI199" s="17" t="s">
        <v>130</v>
      </c>
      <c r="AJ199" s="17"/>
      <c r="AK199" s="21"/>
    </row>
    <row r="200" spans="1:37" x14ac:dyDescent="0.25">
      <c r="A200" s="12" t="s">
        <v>294</v>
      </c>
      <c r="B200" s="12">
        <v>61</v>
      </c>
      <c r="C200" s="12">
        <v>6.2</v>
      </c>
      <c r="D200" s="27">
        <v>43998</v>
      </c>
      <c r="E200" s="14">
        <f>[1]!Tabela1[[#This Row],[PSA]]/[1]!Tabela1[[#This Row],[MRI vol]]</f>
        <v>0.15121951219512195</v>
      </c>
      <c r="F200" s="12"/>
      <c r="G200" s="12"/>
      <c r="H200" s="12">
        <v>41</v>
      </c>
      <c r="I200" s="12">
        <v>3</v>
      </c>
      <c r="J200" s="12"/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9</v>
      </c>
      <c r="R200" s="15">
        <v>0</v>
      </c>
      <c r="S200" s="12"/>
      <c r="T200" s="12"/>
      <c r="U200" s="15">
        <v>1</v>
      </c>
      <c r="V200" s="12"/>
      <c r="W200" s="12"/>
      <c r="X200" s="12">
        <v>1</v>
      </c>
      <c r="Y200" s="12">
        <v>1</v>
      </c>
      <c r="Z200" s="12">
        <v>1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 t="s">
        <v>53</v>
      </c>
      <c r="AJ200" s="12"/>
      <c r="AK200" s="16"/>
    </row>
    <row r="201" spans="1:37" x14ac:dyDescent="0.25">
      <c r="A201" s="17" t="s">
        <v>295</v>
      </c>
      <c r="B201" s="17">
        <v>69</v>
      </c>
      <c r="C201" s="17">
        <v>45.2</v>
      </c>
      <c r="D201" s="28">
        <v>43174</v>
      </c>
      <c r="E201" s="19">
        <f>[1]!Tabela1[[#This Row],[PSA]]/[1]!Tabela1[[#This Row],[MRI vol]]</f>
        <v>0.75333333333333341</v>
      </c>
      <c r="F201" s="17"/>
      <c r="G201" s="17"/>
      <c r="H201" s="17">
        <v>60</v>
      </c>
      <c r="I201" s="17">
        <v>5</v>
      </c>
      <c r="J201" s="17"/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19</v>
      </c>
      <c r="R201" s="20">
        <v>5</v>
      </c>
      <c r="S201" s="17"/>
      <c r="T201" s="17"/>
      <c r="U201" s="20">
        <v>0</v>
      </c>
      <c r="V201" s="17"/>
      <c r="W201" s="17"/>
      <c r="X201" s="17">
        <v>4</v>
      </c>
      <c r="Y201" s="17">
        <v>4</v>
      </c>
      <c r="Z201" s="17">
        <v>4</v>
      </c>
      <c r="AA201" s="17">
        <v>0</v>
      </c>
      <c r="AB201" s="17">
        <v>0</v>
      </c>
      <c r="AC201" s="17">
        <v>1</v>
      </c>
      <c r="AD201" s="17">
        <v>0</v>
      </c>
      <c r="AE201" s="17">
        <v>1</v>
      </c>
      <c r="AF201" s="17">
        <v>1</v>
      </c>
      <c r="AG201" s="17">
        <v>0</v>
      </c>
      <c r="AH201" s="17">
        <v>1</v>
      </c>
      <c r="AI201" s="17" t="s">
        <v>72</v>
      </c>
      <c r="AJ201" s="17"/>
      <c r="AK201" s="21"/>
    </row>
    <row r="202" spans="1:37" x14ac:dyDescent="0.25">
      <c r="A202" s="12" t="s">
        <v>296</v>
      </c>
      <c r="B202" s="12">
        <v>59</v>
      </c>
      <c r="C202" s="12">
        <v>8.4</v>
      </c>
      <c r="D202" s="27">
        <v>43033</v>
      </c>
      <c r="E202" s="14">
        <f>[1]!Tabela1[[#This Row],[PSA]]/[1]!Tabela1[[#This Row],[MRI vol]]</f>
        <v>0.31111111111111112</v>
      </c>
      <c r="F202" s="12"/>
      <c r="G202" s="12"/>
      <c r="H202" s="12">
        <v>27</v>
      </c>
      <c r="I202" s="12">
        <v>4</v>
      </c>
      <c r="J202" s="12"/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11</v>
      </c>
      <c r="R202" s="15">
        <v>1</v>
      </c>
      <c r="S202" s="12"/>
      <c r="T202" s="12"/>
      <c r="U202" s="15">
        <v>2</v>
      </c>
      <c r="V202" s="12"/>
      <c r="W202" s="12"/>
      <c r="X202" s="12">
        <v>2</v>
      </c>
      <c r="Y202" s="12">
        <v>2</v>
      </c>
      <c r="Z202" s="12">
        <v>2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 t="s">
        <v>53</v>
      </c>
      <c r="AJ202" s="12"/>
      <c r="AK202" s="16"/>
    </row>
    <row r="203" spans="1:37" x14ac:dyDescent="0.25">
      <c r="A203" s="17" t="s">
        <v>297</v>
      </c>
      <c r="B203" s="17">
        <v>64</v>
      </c>
      <c r="C203" s="17">
        <v>11.9</v>
      </c>
      <c r="D203" s="28">
        <v>43297</v>
      </c>
      <c r="E203" s="19">
        <f>[1]!Tabela1[[#This Row],[PSA]]/[1]!Tabela1[[#This Row],[MRI vol]]</f>
        <v>0.35000000000000003</v>
      </c>
      <c r="F203" s="17"/>
      <c r="G203" s="17"/>
      <c r="H203" s="17">
        <v>34</v>
      </c>
      <c r="I203" s="17">
        <v>5</v>
      </c>
      <c r="J203" s="17"/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25</v>
      </c>
      <c r="R203" s="20">
        <v>2</v>
      </c>
      <c r="S203" s="17"/>
      <c r="T203" s="17"/>
      <c r="U203" s="20">
        <v>1</v>
      </c>
      <c r="V203" s="17"/>
      <c r="W203" s="17"/>
      <c r="X203" s="17">
        <v>2</v>
      </c>
      <c r="Y203" s="17">
        <v>2</v>
      </c>
      <c r="Z203" s="17">
        <v>2</v>
      </c>
      <c r="AA203" s="17">
        <v>0</v>
      </c>
      <c r="AB203" s="17">
        <v>0</v>
      </c>
      <c r="AC203" s="17">
        <v>1</v>
      </c>
      <c r="AD203" s="17">
        <v>1</v>
      </c>
      <c r="AE203" s="17">
        <v>1</v>
      </c>
      <c r="AF203" s="17">
        <v>0</v>
      </c>
      <c r="AG203" s="17">
        <v>0</v>
      </c>
      <c r="AH203" s="17">
        <v>0</v>
      </c>
      <c r="AI203" s="17" t="s">
        <v>47</v>
      </c>
      <c r="AJ203" s="17"/>
      <c r="AK203" s="21"/>
    </row>
    <row r="204" spans="1:37" x14ac:dyDescent="0.25">
      <c r="A204" s="12" t="s">
        <v>298</v>
      </c>
      <c r="B204" s="12">
        <v>70</v>
      </c>
      <c r="C204" s="12">
        <v>9.8000000000000007</v>
      </c>
      <c r="D204" s="27">
        <v>43054</v>
      </c>
      <c r="E204" s="14">
        <f>[1]!Tabela1[[#This Row],[PSA]]/[1]!Tabela1[[#This Row],[MRI vol]]</f>
        <v>0.16610169491525426</v>
      </c>
      <c r="F204" s="12"/>
      <c r="G204" s="12"/>
      <c r="H204" s="12">
        <v>59</v>
      </c>
      <c r="I204" s="12">
        <v>4</v>
      </c>
      <c r="J204" s="12"/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8</v>
      </c>
      <c r="R204" s="15">
        <v>2</v>
      </c>
      <c r="S204" s="12"/>
      <c r="T204" s="12"/>
      <c r="U204" s="15">
        <v>0</v>
      </c>
      <c r="V204" s="12"/>
      <c r="W204" s="12"/>
      <c r="X204" s="12">
        <v>3</v>
      </c>
      <c r="Y204" s="12">
        <v>3</v>
      </c>
      <c r="Z204" s="12">
        <v>3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 t="s">
        <v>53</v>
      </c>
      <c r="AJ204" s="12"/>
      <c r="AK204" s="16"/>
    </row>
    <row r="205" spans="1:37" x14ac:dyDescent="0.25">
      <c r="A205" s="17" t="s">
        <v>299</v>
      </c>
      <c r="B205" s="17">
        <v>68</v>
      </c>
      <c r="C205" s="17">
        <v>4.8</v>
      </c>
      <c r="D205" s="28">
        <v>42621</v>
      </c>
      <c r="E205" s="19">
        <f>[1]!Tabela1[[#This Row],[PSA]]/[1]!Tabela1[[#This Row],[MRI vol]]</f>
        <v>7.7419354838709681E-2</v>
      </c>
      <c r="F205" s="17"/>
      <c r="G205" s="17"/>
      <c r="H205" s="17">
        <v>62</v>
      </c>
      <c r="I205" s="17">
        <v>4</v>
      </c>
      <c r="J205" s="17"/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9</v>
      </c>
      <c r="R205" s="20">
        <v>1</v>
      </c>
      <c r="S205" s="17"/>
      <c r="T205" s="17"/>
      <c r="U205" s="20">
        <v>0</v>
      </c>
      <c r="V205" s="17"/>
      <c r="W205" s="17"/>
      <c r="X205" s="17">
        <v>1</v>
      </c>
      <c r="Y205" s="17">
        <v>1</v>
      </c>
      <c r="Z205" s="17">
        <v>1</v>
      </c>
      <c r="AA205" s="17">
        <v>0</v>
      </c>
      <c r="AB205" s="17">
        <v>0</v>
      </c>
      <c r="AC205" s="17">
        <v>0</v>
      </c>
      <c r="AD205" s="17">
        <v>0</v>
      </c>
      <c r="AE205" s="17">
        <v>0</v>
      </c>
      <c r="AF205" s="17">
        <v>0</v>
      </c>
      <c r="AG205" s="17">
        <v>0</v>
      </c>
      <c r="AH205" s="17">
        <v>0</v>
      </c>
      <c r="AI205" s="17" t="s">
        <v>53</v>
      </c>
      <c r="AJ205" s="17"/>
      <c r="AK205" s="21"/>
    </row>
    <row r="206" spans="1:37" x14ac:dyDescent="0.25">
      <c r="A206" s="12" t="s">
        <v>300</v>
      </c>
      <c r="B206" s="12">
        <v>63</v>
      </c>
      <c r="C206" s="12">
        <v>5.7</v>
      </c>
      <c r="D206" s="27">
        <v>42870</v>
      </c>
      <c r="E206" s="14">
        <f>[1]!Tabela1[[#This Row],[PSA]]/[1]!Tabela1[[#This Row],[MRI vol]]</f>
        <v>6.7058823529411768E-2</v>
      </c>
      <c r="F206" s="12"/>
      <c r="G206" s="12"/>
      <c r="H206" s="12">
        <v>85</v>
      </c>
      <c r="I206" s="12">
        <v>4</v>
      </c>
      <c r="J206" s="12"/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11</v>
      </c>
      <c r="R206" s="15"/>
      <c r="S206" s="12"/>
      <c r="T206" s="12"/>
      <c r="U206" s="15">
        <v>2</v>
      </c>
      <c r="V206" s="12"/>
      <c r="W206" s="12"/>
      <c r="X206" s="12">
        <v>3</v>
      </c>
      <c r="Y206" s="12">
        <v>3</v>
      </c>
      <c r="Z206" s="12">
        <v>3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 t="s">
        <v>53</v>
      </c>
      <c r="AJ206" s="12"/>
      <c r="AK206" s="16"/>
    </row>
    <row r="207" spans="1:37" x14ac:dyDescent="0.25">
      <c r="A207" s="17" t="s">
        <v>301</v>
      </c>
      <c r="B207" s="17">
        <v>64</v>
      </c>
      <c r="C207" s="17">
        <v>8.6</v>
      </c>
      <c r="D207" s="28">
        <v>43377</v>
      </c>
      <c r="E207" s="19">
        <f>[1]!Tabela1[[#This Row],[PSA]]/[1]!Tabela1[[#This Row],[MRI vol]]</f>
        <v>0.2097560975609756</v>
      </c>
      <c r="F207" s="17"/>
      <c r="G207" s="17"/>
      <c r="H207" s="17">
        <v>41</v>
      </c>
      <c r="I207" s="17">
        <v>4</v>
      </c>
      <c r="J207" s="17"/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12</v>
      </c>
      <c r="R207" s="20">
        <v>1</v>
      </c>
      <c r="S207" s="17"/>
      <c r="T207" s="17"/>
      <c r="U207" s="20">
        <v>2</v>
      </c>
      <c r="V207" s="17"/>
      <c r="W207" s="17"/>
      <c r="X207" s="17">
        <v>2</v>
      </c>
      <c r="Y207" s="17">
        <v>2</v>
      </c>
      <c r="Z207" s="17">
        <v>2</v>
      </c>
      <c r="AA207" s="17">
        <v>1</v>
      </c>
      <c r="AB207" s="17">
        <v>0</v>
      </c>
      <c r="AC207" s="17">
        <v>1</v>
      </c>
      <c r="AD207" s="17">
        <v>1</v>
      </c>
      <c r="AE207" s="17">
        <v>0</v>
      </c>
      <c r="AF207" s="17">
        <v>1</v>
      </c>
      <c r="AG207" s="17">
        <v>1</v>
      </c>
      <c r="AH207" s="17">
        <v>0</v>
      </c>
      <c r="AI207" s="17" t="s">
        <v>72</v>
      </c>
      <c r="AJ207" s="17"/>
      <c r="AK207" s="21"/>
    </row>
    <row r="208" spans="1:37" x14ac:dyDescent="0.25">
      <c r="A208" s="12" t="s">
        <v>302</v>
      </c>
      <c r="B208" s="12">
        <v>64</v>
      </c>
      <c r="C208" s="12">
        <v>12.9</v>
      </c>
      <c r="D208" s="27">
        <v>42828</v>
      </c>
      <c r="E208" s="14">
        <f>[1]!Tabela1[[#This Row],[PSA]]/[1]!Tabela1[[#This Row],[MRI vol]]</f>
        <v>0.34864864864864864</v>
      </c>
      <c r="F208" s="12"/>
      <c r="G208" s="12"/>
      <c r="H208" s="12">
        <v>37</v>
      </c>
      <c r="I208" s="12">
        <v>3</v>
      </c>
      <c r="J208" s="12"/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13</v>
      </c>
      <c r="R208" s="15">
        <v>2</v>
      </c>
      <c r="S208" s="12"/>
      <c r="T208" s="12"/>
      <c r="U208" s="15">
        <v>1</v>
      </c>
      <c r="V208" s="12"/>
      <c r="W208" s="12"/>
      <c r="X208" s="12">
        <v>2</v>
      </c>
      <c r="Y208" s="12">
        <v>2</v>
      </c>
      <c r="Z208" s="12">
        <v>2</v>
      </c>
      <c r="AA208" s="12">
        <v>1</v>
      </c>
      <c r="AB208" s="12">
        <v>1</v>
      </c>
      <c r="AC208" s="12">
        <v>1</v>
      </c>
      <c r="AD208" s="12">
        <v>1</v>
      </c>
      <c r="AE208" s="12">
        <v>1</v>
      </c>
      <c r="AF208" s="12">
        <v>0</v>
      </c>
      <c r="AG208" s="12">
        <v>0</v>
      </c>
      <c r="AH208" s="12">
        <v>0</v>
      </c>
      <c r="AI208" s="12" t="s">
        <v>47</v>
      </c>
      <c r="AJ208" s="12"/>
      <c r="AK208" s="16"/>
    </row>
    <row r="209" spans="1:37" x14ac:dyDescent="0.25">
      <c r="A209" s="17" t="s">
        <v>303</v>
      </c>
      <c r="B209" s="17">
        <v>58</v>
      </c>
      <c r="C209" s="17">
        <v>9.3000000000000007</v>
      </c>
      <c r="D209" s="28">
        <v>42992</v>
      </c>
      <c r="E209" s="19">
        <f>[1]!Tabela1[[#This Row],[PSA]]/[1]!Tabela1[[#This Row],[MRI vol]]</f>
        <v>0.11772151898734177</v>
      </c>
      <c r="F209" s="17"/>
      <c r="G209" s="17"/>
      <c r="H209" s="17">
        <v>79</v>
      </c>
      <c r="I209" s="17">
        <v>3</v>
      </c>
      <c r="J209" s="17"/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9</v>
      </c>
      <c r="R209" s="20">
        <v>1</v>
      </c>
      <c r="S209" s="17"/>
      <c r="T209" s="17"/>
      <c r="U209" s="20">
        <v>0</v>
      </c>
      <c r="V209" s="17"/>
      <c r="W209" s="17"/>
      <c r="X209" s="17">
        <v>1</v>
      </c>
      <c r="Y209" s="17">
        <v>1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 t="s">
        <v>47</v>
      </c>
      <c r="AJ209" s="17"/>
      <c r="AK209" s="21"/>
    </row>
    <row r="210" spans="1:37" x14ac:dyDescent="0.25">
      <c r="A210" s="12" t="s">
        <v>304</v>
      </c>
      <c r="B210" s="12">
        <v>50</v>
      </c>
      <c r="C210" s="12">
        <v>3</v>
      </c>
      <c r="D210" s="27">
        <v>42814</v>
      </c>
      <c r="E210" s="14">
        <f>[1]!Tabela1[[#This Row],[PSA]]/[1]!Tabela1[[#This Row],[MRI vol]]</f>
        <v>0.11538461538461539</v>
      </c>
      <c r="F210" s="12"/>
      <c r="G210" s="12"/>
      <c r="H210" s="12">
        <v>26</v>
      </c>
      <c r="I210" s="12">
        <v>3</v>
      </c>
      <c r="J210" s="12"/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/>
      <c r="R210" s="15">
        <v>1</v>
      </c>
      <c r="S210" s="12"/>
      <c r="T210" s="12"/>
      <c r="U210" s="15">
        <v>0</v>
      </c>
      <c r="V210" s="12"/>
      <c r="W210" s="12"/>
      <c r="X210" s="12">
        <v>1</v>
      </c>
      <c r="Y210" s="12">
        <v>1</v>
      </c>
      <c r="Z210" s="12">
        <v>1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 t="s">
        <v>53</v>
      </c>
      <c r="AJ210" s="12"/>
      <c r="AK210" s="16"/>
    </row>
    <row r="211" spans="1:37" x14ac:dyDescent="0.25">
      <c r="A211" s="17" t="s">
        <v>305</v>
      </c>
      <c r="B211" s="17">
        <v>62</v>
      </c>
      <c r="C211" s="17">
        <v>19</v>
      </c>
      <c r="D211" s="28">
        <v>44127</v>
      </c>
      <c r="E211" s="19">
        <f>[1]!Tabela1[[#This Row],[PSA]]/[1]!Tabela1[[#This Row],[MRI vol]]</f>
        <v>0.25675675675675674</v>
      </c>
      <c r="F211" s="17"/>
      <c r="G211" s="17"/>
      <c r="H211" s="17">
        <v>74</v>
      </c>
      <c r="I211" s="17">
        <v>4</v>
      </c>
      <c r="J211" s="17"/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10</v>
      </c>
      <c r="R211" s="20">
        <v>1</v>
      </c>
      <c r="S211" s="17"/>
      <c r="T211" s="17"/>
      <c r="U211" s="20">
        <v>1</v>
      </c>
      <c r="V211" s="17"/>
      <c r="W211" s="17"/>
      <c r="X211" s="17">
        <v>2</v>
      </c>
      <c r="Y211" s="17">
        <v>2</v>
      </c>
      <c r="Z211" s="17">
        <v>2</v>
      </c>
      <c r="AA211" s="17">
        <v>0</v>
      </c>
      <c r="AB211" s="17">
        <v>0</v>
      </c>
      <c r="AC211" s="17">
        <v>0</v>
      </c>
      <c r="AD211" s="17">
        <v>0</v>
      </c>
      <c r="AE211" s="17">
        <v>0</v>
      </c>
      <c r="AF211" s="17">
        <v>0</v>
      </c>
      <c r="AG211" s="17">
        <v>0</v>
      </c>
      <c r="AH211" s="17">
        <v>0</v>
      </c>
      <c r="AI211" s="17" t="s">
        <v>53</v>
      </c>
      <c r="AJ211" s="17"/>
      <c r="AK211" s="21"/>
    </row>
    <row r="212" spans="1:37" x14ac:dyDescent="0.25">
      <c r="A212" s="12" t="s">
        <v>306</v>
      </c>
      <c r="B212" s="12">
        <v>59</v>
      </c>
      <c r="C212" s="12">
        <v>7.1</v>
      </c>
      <c r="D212" s="27">
        <v>42893</v>
      </c>
      <c r="E212" s="14">
        <f>[1]!Tabela1[[#This Row],[PSA]]/[1]!Tabela1[[#This Row],[MRI vol]]</f>
        <v>0.10923076923076923</v>
      </c>
      <c r="F212" s="12"/>
      <c r="G212" s="12"/>
      <c r="H212" s="12">
        <v>65</v>
      </c>
      <c r="I212" s="12">
        <v>3</v>
      </c>
      <c r="J212" s="12"/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10</v>
      </c>
      <c r="R212" s="15">
        <v>1</v>
      </c>
      <c r="S212" s="12"/>
      <c r="T212" s="12"/>
      <c r="U212" s="15">
        <v>1</v>
      </c>
      <c r="V212" s="12"/>
      <c r="W212" s="12"/>
      <c r="X212" s="12">
        <v>2</v>
      </c>
      <c r="Y212" s="12">
        <v>2</v>
      </c>
      <c r="Z212" s="12">
        <v>2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 t="s">
        <v>53</v>
      </c>
      <c r="AJ212" s="12"/>
      <c r="AK212" s="16"/>
    </row>
    <row r="213" spans="1:37" x14ac:dyDescent="0.25">
      <c r="A213" s="17" t="s">
        <v>307</v>
      </c>
      <c r="B213" s="17">
        <v>66</v>
      </c>
      <c r="C213" s="17">
        <v>6.2</v>
      </c>
      <c r="D213" s="28">
        <v>43930</v>
      </c>
      <c r="E213" s="19">
        <f>[1]!Tabela1[[#This Row],[PSA]]/[1]!Tabela1[[#This Row],[MRI vol]]</f>
        <v>0.19375000000000001</v>
      </c>
      <c r="F213" s="17"/>
      <c r="G213" s="17"/>
      <c r="H213" s="17">
        <v>32</v>
      </c>
      <c r="I213" s="17">
        <v>4</v>
      </c>
      <c r="J213" s="17"/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14</v>
      </c>
      <c r="R213" s="20">
        <v>1</v>
      </c>
      <c r="S213" s="17"/>
      <c r="T213" s="17"/>
      <c r="U213" s="20">
        <v>0</v>
      </c>
      <c r="V213" s="17"/>
      <c r="W213" s="17"/>
      <c r="X213" s="17">
        <v>2</v>
      </c>
      <c r="Y213" s="17">
        <v>2</v>
      </c>
      <c r="Z213" s="17">
        <v>2</v>
      </c>
      <c r="AA213" s="17">
        <v>0</v>
      </c>
      <c r="AB213" s="17">
        <v>0</v>
      </c>
      <c r="AC213" s="17">
        <v>0</v>
      </c>
      <c r="AD213" s="17">
        <v>0</v>
      </c>
      <c r="AE213" s="17">
        <v>0</v>
      </c>
      <c r="AF213" s="17">
        <v>0</v>
      </c>
      <c r="AG213" s="17">
        <v>0</v>
      </c>
      <c r="AH213" s="17">
        <v>0</v>
      </c>
      <c r="AI213" s="17" t="s">
        <v>53</v>
      </c>
      <c r="AJ213" s="17"/>
      <c r="AK213" s="21"/>
    </row>
    <row r="214" spans="1:37" x14ac:dyDescent="0.25">
      <c r="A214" s="12" t="s">
        <v>308</v>
      </c>
      <c r="B214" s="12">
        <v>56</v>
      </c>
      <c r="C214" s="12">
        <v>5.6</v>
      </c>
      <c r="D214" s="27">
        <v>42430</v>
      </c>
      <c r="E214" s="14">
        <f>[1]!Tabela1[[#This Row],[PSA]]/[1]!Tabela1[[#This Row],[MRI vol]]</f>
        <v>0.16470588235294117</v>
      </c>
      <c r="F214" s="12"/>
      <c r="G214" s="12"/>
      <c r="H214" s="12">
        <v>34</v>
      </c>
      <c r="I214" s="12">
        <v>4</v>
      </c>
      <c r="J214" s="12"/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8</v>
      </c>
      <c r="R214" s="15">
        <v>1</v>
      </c>
      <c r="S214" s="12"/>
      <c r="T214" s="12"/>
      <c r="U214" s="15">
        <v>1</v>
      </c>
      <c r="V214" s="12"/>
      <c r="W214" s="12"/>
      <c r="X214" s="12">
        <v>2</v>
      </c>
      <c r="Y214" s="12">
        <v>2</v>
      </c>
      <c r="Z214" s="12">
        <v>2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 t="s">
        <v>53</v>
      </c>
      <c r="AJ214" s="12"/>
      <c r="AK214" s="16"/>
    </row>
    <row r="215" spans="1:37" x14ac:dyDescent="0.25">
      <c r="A215" s="17" t="s">
        <v>309</v>
      </c>
      <c r="B215" s="17">
        <v>69</v>
      </c>
      <c r="C215" s="17">
        <v>11</v>
      </c>
      <c r="D215" s="28">
        <v>44151</v>
      </c>
      <c r="E215" s="19">
        <f>[1]!Tabela1[[#This Row],[PSA]]/[1]!Tabela1[[#This Row],[MRI vol]]</f>
        <v>0.19642857142857142</v>
      </c>
      <c r="F215" s="17"/>
      <c r="G215" s="17"/>
      <c r="H215" s="17">
        <v>56</v>
      </c>
      <c r="I215" s="17">
        <v>5</v>
      </c>
      <c r="J215" s="17"/>
      <c r="K215" s="20">
        <v>1</v>
      </c>
      <c r="L215" s="20">
        <v>0</v>
      </c>
      <c r="M215" s="20">
        <v>1</v>
      </c>
      <c r="N215" s="20">
        <v>0</v>
      </c>
      <c r="O215" s="20">
        <v>0</v>
      </c>
      <c r="P215" s="20">
        <v>0</v>
      </c>
      <c r="Q215" s="20">
        <v>35</v>
      </c>
      <c r="R215" s="20">
        <v>2</v>
      </c>
      <c r="S215" s="17"/>
      <c r="T215" s="17"/>
      <c r="U215" s="20">
        <v>0</v>
      </c>
      <c r="V215" s="17"/>
      <c r="W215" s="17"/>
      <c r="X215" s="17">
        <v>4</v>
      </c>
      <c r="Y215" s="17">
        <v>4</v>
      </c>
      <c r="Z215" s="17">
        <v>4</v>
      </c>
      <c r="AA215" s="17">
        <v>1</v>
      </c>
      <c r="AB215" s="17">
        <v>1</v>
      </c>
      <c r="AC215" s="17">
        <v>1</v>
      </c>
      <c r="AD215" s="17">
        <v>1</v>
      </c>
      <c r="AE215" s="17">
        <v>1</v>
      </c>
      <c r="AF215" s="17">
        <v>1</v>
      </c>
      <c r="AG215" s="17">
        <v>1</v>
      </c>
      <c r="AH215" s="17">
        <v>1</v>
      </c>
      <c r="AI215" s="17" t="s">
        <v>72</v>
      </c>
      <c r="AJ215" s="17"/>
      <c r="AK215" s="21"/>
    </row>
    <row r="216" spans="1:37" x14ac:dyDescent="0.25">
      <c r="A216" s="12" t="s">
        <v>310</v>
      </c>
      <c r="B216" s="12">
        <v>79</v>
      </c>
      <c r="C216" s="12">
        <v>13</v>
      </c>
      <c r="D216" s="27">
        <v>43461</v>
      </c>
      <c r="E216" s="14">
        <f>[1]!Tabela1[[#This Row],[PSA]]/[1]!Tabela1[[#This Row],[MRI vol]]</f>
        <v>0.38235294117647056</v>
      </c>
      <c r="F216" s="12"/>
      <c r="G216" s="12"/>
      <c r="H216" s="12">
        <v>34</v>
      </c>
      <c r="I216" s="12">
        <v>4</v>
      </c>
      <c r="J216" s="12"/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10</v>
      </c>
      <c r="R216" s="15">
        <v>2</v>
      </c>
      <c r="S216" s="12"/>
      <c r="T216" s="12"/>
      <c r="U216" s="15">
        <v>4</v>
      </c>
      <c r="V216" s="12"/>
      <c r="W216" s="12"/>
      <c r="X216" s="12">
        <v>4</v>
      </c>
      <c r="Y216" s="12">
        <v>2</v>
      </c>
      <c r="Z216" s="12">
        <v>4</v>
      </c>
      <c r="AA216" s="12">
        <v>0</v>
      </c>
      <c r="AB216" s="12">
        <v>0</v>
      </c>
      <c r="AC216" s="12">
        <v>1</v>
      </c>
      <c r="AD216" s="12">
        <v>1</v>
      </c>
      <c r="AE216" s="12">
        <v>0</v>
      </c>
      <c r="AF216" s="12">
        <v>0</v>
      </c>
      <c r="AG216" s="12">
        <v>0</v>
      </c>
      <c r="AH216" s="12">
        <v>0</v>
      </c>
      <c r="AI216" s="12" t="s">
        <v>47</v>
      </c>
      <c r="AJ216" s="12"/>
      <c r="AK216" s="16"/>
    </row>
    <row r="217" spans="1:37" x14ac:dyDescent="0.25">
      <c r="A217" s="17" t="s">
        <v>311</v>
      </c>
      <c r="B217" s="17">
        <v>60</v>
      </c>
      <c r="C217" s="17">
        <v>38</v>
      </c>
      <c r="D217" s="28">
        <v>42474</v>
      </c>
      <c r="E217" s="19">
        <f>[1]!Tabela1[[#This Row],[PSA]]/[1]!Tabela1[[#This Row],[MRI vol]]</f>
        <v>0.92682926829268297</v>
      </c>
      <c r="F217" s="17"/>
      <c r="G217" s="17"/>
      <c r="H217" s="17">
        <v>41</v>
      </c>
      <c r="I217" s="17">
        <v>5</v>
      </c>
      <c r="J217" s="17"/>
      <c r="K217" s="20">
        <v>1</v>
      </c>
      <c r="L217" s="20">
        <v>1</v>
      </c>
      <c r="M217" s="20">
        <v>1</v>
      </c>
      <c r="N217" s="20">
        <v>1</v>
      </c>
      <c r="O217" s="20">
        <v>1</v>
      </c>
      <c r="P217" s="20">
        <v>1</v>
      </c>
      <c r="Q217" s="20">
        <v>12</v>
      </c>
      <c r="R217" s="20">
        <v>2</v>
      </c>
      <c r="S217" s="17"/>
      <c r="T217" s="17"/>
      <c r="U217" s="20">
        <v>2</v>
      </c>
      <c r="V217" s="17"/>
      <c r="W217" s="17"/>
      <c r="X217" s="17">
        <v>5</v>
      </c>
      <c r="Y217" s="17">
        <v>5</v>
      </c>
      <c r="Z217" s="17">
        <v>5</v>
      </c>
      <c r="AA217" s="17">
        <v>0</v>
      </c>
      <c r="AB217" s="17">
        <v>1</v>
      </c>
      <c r="AC217" s="17">
        <v>1</v>
      </c>
      <c r="AD217" s="17">
        <v>1</v>
      </c>
      <c r="AE217" s="17">
        <v>1</v>
      </c>
      <c r="AF217" s="17">
        <v>1</v>
      </c>
      <c r="AG217" s="17">
        <v>1</v>
      </c>
      <c r="AH217" s="17">
        <v>1</v>
      </c>
      <c r="AI217" s="17" t="s">
        <v>72</v>
      </c>
      <c r="AJ217" s="17"/>
      <c r="AK217" s="21"/>
    </row>
    <row r="218" spans="1:37" x14ac:dyDescent="0.25">
      <c r="A218" s="12" t="s">
        <v>312</v>
      </c>
      <c r="B218" s="12">
        <v>74</v>
      </c>
      <c r="C218" s="12">
        <v>21</v>
      </c>
      <c r="D218" s="27">
        <v>43433</v>
      </c>
      <c r="E218" s="14">
        <f>[1]!Tabela1[[#This Row],[PSA]]/[1]!Tabela1[[#This Row],[MRI vol]]</f>
        <v>0.48837209302325579</v>
      </c>
      <c r="F218" s="12"/>
      <c r="G218" s="12"/>
      <c r="H218" s="12">
        <v>43</v>
      </c>
      <c r="I218" s="12">
        <v>5</v>
      </c>
      <c r="J218" s="12"/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18</v>
      </c>
      <c r="R218" s="15">
        <v>2</v>
      </c>
      <c r="S218" s="12"/>
      <c r="T218" s="12"/>
      <c r="U218" s="15">
        <v>2</v>
      </c>
      <c r="V218" s="12"/>
      <c r="W218" s="12"/>
      <c r="X218" s="12">
        <v>2</v>
      </c>
      <c r="Y218" s="12">
        <v>2</v>
      </c>
      <c r="Z218" s="12">
        <v>2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 t="s">
        <v>53</v>
      </c>
      <c r="AJ218" s="12"/>
      <c r="AK218" s="16"/>
    </row>
    <row r="219" spans="1:37" x14ac:dyDescent="0.25">
      <c r="A219" s="17" t="s">
        <v>313</v>
      </c>
      <c r="B219" s="17">
        <v>62</v>
      </c>
      <c r="C219" s="17">
        <v>12.9</v>
      </c>
      <c r="D219" s="28">
        <v>43004</v>
      </c>
      <c r="E219" s="19">
        <f>[1]!Tabela1[[#This Row],[PSA]]/[1]!Tabela1[[#This Row],[MRI vol]]</f>
        <v>0.41612903225806452</v>
      </c>
      <c r="F219" s="17"/>
      <c r="G219" s="17"/>
      <c r="H219" s="17">
        <v>31</v>
      </c>
      <c r="I219" s="17">
        <v>4</v>
      </c>
      <c r="J219" s="17"/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12</v>
      </c>
      <c r="R219" s="20">
        <v>2</v>
      </c>
      <c r="S219" s="17"/>
      <c r="T219" s="17"/>
      <c r="U219" s="20">
        <v>1</v>
      </c>
      <c r="V219" s="17"/>
      <c r="W219" s="17"/>
      <c r="X219" s="17">
        <v>2</v>
      </c>
      <c r="Y219" s="17">
        <v>2</v>
      </c>
      <c r="Z219" s="17">
        <v>1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  <c r="AG219" s="17">
        <v>0</v>
      </c>
      <c r="AH219" s="17">
        <v>0</v>
      </c>
      <c r="AI219" s="17" t="s">
        <v>53</v>
      </c>
      <c r="AJ219" s="17"/>
      <c r="AK219" s="21"/>
    </row>
    <row r="220" spans="1:37" x14ac:dyDescent="0.25">
      <c r="A220" s="12" t="s">
        <v>314</v>
      </c>
      <c r="B220" s="12">
        <v>76</v>
      </c>
      <c r="C220" s="12">
        <v>19</v>
      </c>
      <c r="D220" s="27">
        <v>42844</v>
      </c>
      <c r="E220" s="14">
        <f>[1]!Tabela1[[#This Row],[PSA]]/[1]!Tabela1[[#This Row],[MRI vol]]</f>
        <v>0.5757575757575758</v>
      </c>
      <c r="F220" s="12"/>
      <c r="G220" s="12"/>
      <c r="H220" s="12">
        <v>33</v>
      </c>
      <c r="I220" s="12">
        <v>5</v>
      </c>
      <c r="J220" s="12"/>
      <c r="K220" s="15">
        <v>1</v>
      </c>
      <c r="L220" s="15">
        <v>0</v>
      </c>
      <c r="M220" s="15">
        <v>1</v>
      </c>
      <c r="N220" s="15">
        <v>1</v>
      </c>
      <c r="O220" s="15">
        <v>1</v>
      </c>
      <c r="P220" s="15">
        <v>0</v>
      </c>
      <c r="Q220" s="15">
        <v>38</v>
      </c>
      <c r="R220" s="15">
        <v>4</v>
      </c>
      <c r="S220" s="12"/>
      <c r="T220" s="12"/>
      <c r="U220" s="15">
        <v>4</v>
      </c>
      <c r="V220" s="12"/>
      <c r="W220" s="12"/>
      <c r="X220" s="12">
        <v>5</v>
      </c>
      <c r="Y220" s="12">
        <v>5</v>
      </c>
      <c r="Z220" s="12">
        <v>5</v>
      </c>
      <c r="AA220" s="12">
        <v>1</v>
      </c>
      <c r="AB220" s="12">
        <v>1</v>
      </c>
      <c r="AC220" s="12">
        <v>1</v>
      </c>
      <c r="AD220" s="12">
        <v>1</v>
      </c>
      <c r="AE220" s="12">
        <v>1</v>
      </c>
      <c r="AF220" s="12">
        <v>0</v>
      </c>
      <c r="AG220" s="12">
        <v>0</v>
      </c>
      <c r="AH220" s="12">
        <v>0</v>
      </c>
      <c r="AI220" s="12" t="s">
        <v>47</v>
      </c>
      <c r="AJ220" s="12"/>
      <c r="AK220" s="16"/>
    </row>
    <row r="221" spans="1:37" x14ac:dyDescent="0.25">
      <c r="A221" s="17" t="s">
        <v>315</v>
      </c>
      <c r="B221" s="17">
        <v>56</v>
      </c>
      <c r="C221" s="17">
        <v>9.6</v>
      </c>
      <c r="D221" s="28">
        <v>43271</v>
      </c>
      <c r="E221" s="19">
        <f>[1]!Tabela1[[#This Row],[PSA]]/[1]!Tabela1[[#This Row],[MRI vol]]</f>
        <v>0.23414634146341462</v>
      </c>
      <c r="F221" s="17"/>
      <c r="G221" s="17"/>
      <c r="H221" s="17">
        <v>41</v>
      </c>
      <c r="I221" s="17">
        <v>4</v>
      </c>
      <c r="J221" s="17"/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12</v>
      </c>
      <c r="R221" s="20">
        <v>4</v>
      </c>
      <c r="S221" s="17"/>
      <c r="T221" s="17"/>
      <c r="U221" s="20">
        <v>0</v>
      </c>
      <c r="V221" s="17"/>
      <c r="W221" s="17"/>
      <c r="X221" s="17">
        <v>3</v>
      </c>
      <c r="Y221" s="17">
        <v>3</v>
      </c>
      <c r="Z221" s="17">
        <v>3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 t="s">
        <v>53</v>
      </c>
      <c r="AJ221" s="17"/>
      <c r="AK221" s="21"/>
    </row>
    <row r="222" spans="1:37" x14ac:dyDescent="0.25">
      <c r="A222" s="12" t="s">
        <v>316</v>
      </c>
      <c r="B222" s="12">
        <v>61</v>
      </c>
      <c r="C222" s="12">
        <v>10.9</v>
      </c>
      <c r="D222" s="27">
        <v>44007</v>
      </c>
      <c r="E222" s="14">
        <f>[1]!Tabela1[[#This Row],[PSA]]/[1]!Tabela1[[#This Row],[MRI vol]]</f>
        <v>0.27948717948717949</v>
      </c>
      <c r="F222" s="12"/>
      <c r="G222" s="12"/>
      <c r="H222" s="12">
        <v>39</v>
      </c>
      <c r="I222" s="12">
        <v>3</v>
      </c>
      <c r="J222" s="12"/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6</v>
      </c>
      <c r="R222" s="15">
        <v>1</v>
      </c>
      <c r="S222" s="12"/>
      <c r="T222" s="12"/>
      <c r="U222" s="15">
        <v>0</v>
      </c>
      <c r="V222" s="12"/>
      <c r="W222" s="12"/>
      <c r="X222" s="12">
        <v>2</v>
      </c>
      <c r="Y222" s="12">
        <v>2</v>
      </c>
      <c r="Z222" s="12">
        <v>2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 t="s">
        <v>53</v>
      </c>
      <c r="AJ222" s="12"/>
      <c r="AK222" s="16"/>
    </row>
    <row r="223" spans="1:37" x14ac:dyDescent="0.25">
      <c r="A223" s="17" t="s">
        <v>317</v>
      </c>
      <c r="B223" s="17">
        <v>66</v>
      </c>
      <c r="C223" s="17">
        <v>11.2</v>
      </c>
      <c r="D223" s="28">
        <v>42839</v>
      </c>
      <c r="E223" s="19">
        <f>[1]!Tabela1[[#This Row],[PSA]]/[1]!Tabela1[[#This Row],[MRI vol]]</f>
        <v>0.18360655737704917</v>
      </c>
      <c r="F223" s="17"/>
      <c r="G223" s="17"/>
      <c r="H223" s="17">
        <v>61</v>
      </c>
      <c r="I223" s="17">
        <v>4</v>
      </c>
      <c r="J223" s="17"/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10</v>
      </c>
      <c r="R223" s="20">
        <v>0</v>
      </c>
      <c r="S223" s="17"/>
      <c r="T223" s="17"/>
      <c r="U223" s="20">
        <v>0</v>
      </c>
      <c r="V223" s="17"/>
      <c r="W223" s="17"/>
      <c r="X223" s="17">
        <v>2</v>
      </c>
      <c r="Y223" s="17">
        <v>2</v>
      </c>
      <c r="Z223" s="17">
        <v>0</v>
      </c>
      <c r="AA223" s="17">
        <v>0</v>
      </c>
      <c r="AB223" s="17">
        <v>1</v>
      </c>
      <c r="AC223" s="17">
        <v>1</v>
      </c>
      <c r="AD223" s="17">
        <v>0</v>
      </c>
      <c r="AE223" s="17">
        <v>1</v>
      </c>
      <c r="AF223" s="17">
        <v>0</v>
      </c>
      <c r="AG223" s="17">
        <v>0</v>
      </c>
      <c r="AH223" s="17">
        <v>0</v>
      </c>
      <c r="AI223" s="17" t="s">
        <v>47</v>
      </c>
      <c r="AJ223" s="17"/>
      <c r="AK223" s="21"/>
    </row>
    <row r="224" spans="1:37" x14ac:dyDescent="0.25">
      <c r="A224" s="12" t="s">
        <v>318</v>
      </c>
      <c r="B224" s="12">
        <v>59</v>
      </c>
      <c r="C224" s="12">
        <v>8</v>
      </c>
      <c r="D224" s="27">
        <v>43468</v>
      </c>
      <c r="E224" s="14">
        <f>[1]!Tabela1[[#This Row],[PSA]]/[1]!Tabela1[[#This Row],[MRI vol]]</f>
        <v>0.26666666666666666</v>
      </c>
      <c r="F224" s="12"/>
      <c r="G224" s="12"/>
      <c r="H224" s="12">
        <v>30</v>
      </c>
      <c r="I224" s="12">
        <v>5</v>
      </c>
      <c r="J224" s="12"/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25</v>
      </c>
      <c r="R224" s="15">
        <v>0</v>
      </c>
      <c r="S224" s="12"/>
      <c r="T224" s="12"/>
      <c r="U224" s="15">
        <v>0</v>
      </c>
      <c r="V224" s="12"/>
      <c r="W224" s="12"/>
      <c r="X224" s="12">
        <v>2</v>
      </c>
      <c r="Y224" s="12">
        <v>2</v>
      </c>
      <c r="Z224" s="12">
        <v>2</v>
      </c>
      <c r="AA224" s="12">
        <v>0</v>
      </c>
      <c r="AB224" s="12">
        <v>0</v>
      </c>
      <c r="AC224" s="12">
        <v>1</v>
      </c>
      <c r="AD224" s="12">
        <v>0</v>
      </c>
      <c r="AE224" s="12">
        <v>1</v>
      </c>
      <c r="AF224" s="12">
        <v>0</v>
      </c>
      <c r="AG224" s="12">
        <v>0</v>
      </c>
      <c r="AH224" s="12">
        <v>0</v>
      </c>
      <c r="AI224" s="12" t="s">
        <v>47</v>
      </c>
      <c r="AJ224" s="12"/>
      <c r="AK224" s="16"/>
    </row>
    <row r="225" spans="1:37" x14ac:dyDescent="0.25">
      <c r="A225" s="17" t="s">
        <v>319</v>
      </c>
      <c r="B225" s="17">
        <v>67</v>
      </c>
      <c r="C225" s="17">
        <v>1.3</v>
      </c>
      <c r="D225" s="28">
        <v>43210</v>
      </c>
      <c r="E225" s="19">
        <f>[1]!Tabela1[[#This Row],[PSA]]/[1]!Tabela1[[#This Row],[MRI vol]]</f>
        <v>6.1904761904761907E-2</v>
      </c>
      <c r="F225" s="17"/>
      <c r="G225" s="17"/>
      <c r="H225" s="17">
        <v>21</v>
      </c>
      <c r="I225" s="17">
        <v>3</v>
      </c>
      <c r="J225" s="17"/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10</v>
      </c>
      <c r="R225" s="20">
        <v>0</v>
      </c>
      <c r="S225" s="17"/>
      <c r="T225" s="17"/>
      <c r="U225" s="20">
        <v>0</v>
      </c>
      <c r="V225" s="17"/>
      <c r="W225" s="17"/>
      <c r="X225" s="17">
        <v>2</v>
      </c>
      <c r="Y225" s="17">
        <v>2</v>
      </c>
      <c r="Z225" s="17">
        <v>2</v>
      </c>
      <c r="AA225" s="17">
        <v>0</v>
      </c>
      <c r="AB225" s="17">
        <v>0</v>
      </c>
      <c r="AC225" s="17">
        <v>0</v>
      </c>
      <c r="AD225" s="17">
        <v>0</v>
      </c>
      <c r="AE225" s="17">
        <v>0</v>
      </c>
      <c r="AF225" s="17">
        <v>0</v>
      </c>
      <c r="AG225" s="17">
        <v>0</v>
      </c>
      <c r="AH225" s="17">
        <v>0</v>
      </c>
      <c r="AI225" s="17" t="s">
        <v>53</v>
      </c>
      <c r="AJ225" s="17"/>
      <c r="AK225" s="21"/>
    </row>
    <row r="226" spans="1:37" x14ac:dyDescent="0.25">
      <c r="A226" s="12" t="s">
        <v>320</v>
      </c>
      <c r="B226" s="12">
        <v>61</v>
      </c>
      <c r="C226" s="12">
        <v>6.2</v>
      </c>
      <c r="D226" s="27">
        <v>42955</v>
      </c>
      <c r="E226" s="14">
        <f>[1]!Tabela1[[#This Row],[PSA]]/[1]!Tabela1[[#This Row],[MRI vol]]</f>
        <v>0.2</v>
      </c>
      <c r="F226" s="12"/>
      <c r="G226" s="12"/>
      <c r="H226" s="12">
        <v>31</v>
      </c>
      <c r="I226" s="12">
        <v>3</v>
      </c>
      <c r="J226" s="12"/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13</v>
      </c>
      <c r="R226" s="15">
        <v>1</v>
      </c>
      <c r="S226" s="12"/>
      <c r="T226" s="12"/>
      <c r="U226" s="15">
        <v>3</v>
      </c>
      <c r="V226" s="12"/>
      <c r="W226" s="12"/>
      <c r="X226" s="12">
        <v>2</v>
      </c>
      <c r="Y226" s="12">
        <v>2</v>
      </c>
      <c r="Z226" s="12">
        <v>2</v>
      </c>
      <c r="AA226" s="12">
        <v>0</v>
      </c>
      <c r="AB226" s="12">
        <v>0</v>
      </c>
      <c r="AC226" s="12">
        <v>11</v>
      </c>
      <c r="AD226" s="12">
        <v>1</v>
      </c>
      <c r="AE226" s="12">
        <v>0</v>
      </c>
      <c r="AF226" s="12">
        <v>0</v>
      </c>
      <c r="AG226" s="12">
        <v>0</v>
      </c>
      <c r="AH226" s="12">
        <v>0</v>
      </c>
      <c r="AI226" s="12" t="s">
        <v>47</v>
      </c>
      <c r="AJ226" s="12"/>
      <c r="AK226" s="16"/>
    </row>
    <row r="227" spans="1:37" x14ac:dyDescent="0.25">
      <c r="A227" s="17" t="s">
        <v>321</v>
      </c>
      <c r="B227" s="17">
        <v>65</v>
      </c>
      <c r="C227" s="17">
        <v>4.9000000000000004</v>
      </c>
      <c r="D227" s="28">
        <v>43054</v>
      </c>
      <c r="E227" s="19">
        <f>[1]!Tabela1[[#This Row],[PSA]]/[1]!Tabela1[[#This Row],[MRI vol]]</f>
        <v>0.12894736842105264</v>
      </c>
      <c r="F227" s="17"/>
      <c r="G227" s="17"/>
      <c r="H227" s="17">
        <v>38</v>
      </c>
      <c r="I227" s="17">
        <v>4</v>
      </c>
      <c r="J227" s="17"/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14</v>
      </c>
      <c r="R227" s="20">
        <v>0</v>
      </c>
      <c r="S227" s="17"/>
      <c r="T227" s="17"/>
      <c r="U227" s="20">
        <v>2</v>
      </c>
      <c r="V227" s="17"/>
      <c r="W227" s="17"/>
      <c r="X227" s="17">
        <v>2</v>
      </c>
      <c r="Y227" s="17">
        <v>2</v>
      </c>
      <c r="Z227" s="17">
        <v>2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 t="s">
        <v>53</v>
      </c>
      <c r="AJ227" s="17"/>
      <c r="AK227" s="21"/>
    </row>
    <row r="228" spans="1:37" x14ac:dyDescent="0.25">
      <c r="A228" s="12" t="s">
        <v>322</v>
      </c>
      <c r="B228" s="12">
        <v>71</v>
      </c>
      <c r="C228" s="12">
        <v>12.6</v>
      </c>
      <c r="D228" s="27">
        <v>43360</v>
      </c>
      <c r="E228" s="14">
        <f>[1]!Tabela1[[#This Row],[PSA]]/[1]!Tabela1[[#This Row],[MRI vol]]</f>
        <v>0.42</v>
      </c>
      <c r="F228" s="12"/>
      <c r="G228" s="12"/>
      <c r="H228" s="12">
        <v>30</v>
      </c>
      <c r="I228" s="12">
        <v>4</v>
      </c>
      <c r="J228" s="12"/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16</v>
      </c>
      <c r="R228" s="15">
        <v>1</v>
      </c>
      <c r="S228" s="12"/>
      <c r="T228" s="12"/>
      <c r="U228" s="15">
        <v>0</v>
      </c>
      <c r="V228" s="12"/>
      <c r="W228" s="12"/>
      <c r="X228" s="12">
        <v>3</v>
      </c>
      <c r="Y228" s="12">
        <v>3</v>
      </c>
      <c r="Z228" s="12">
        <v>3</v>
      </c>
      <c r="AA228" s="12">
        <v>0</v>
      </c>
      <c r="AB228" s="12">
        <v>0</v>
      </c>
      <c r="AC228" s="12">
        <v>1</v>
      </c>
      <c r="AD228" s="12">
        <v>1</v>
      </c>
      <c r="AE228" s="12">
        <v>0</v>
      </c>
      <c r="AF228" s="12">
        <v>0</v>
      </c>
      <c r="AG228" s="12">
        <v>0</v>
      </c>
      <c r="AH228" s="12">
        <v>0</v>
      </c>
      <c r="AI228" s="12" t="s">
        <v>53</v>
      </c>
      <c r="AJ228" s="12"/>
      <c r="AK228" s="16"/>
    </row>
    <row r="229" spans="1:37" x14ac:dyDescent="0.25">
      <c r="A229" s="17" t="s">
        <v>323</v>
      </c>
      <c r="B229" s="17">
        <v>73</v>
      </c>
      <c r="C229" s="17">
        <v>10</v>
      </c>
      <c r="D229" s="28">
        <v>42318</v>
      </c>
      <c r="E229" s="19">
        <f>[1]!Tabela1[[#This Row],[PSA]]/[1]!Tabela1[[#This Row],[MRI vol]]</f>
        <v>0.32258064516129031</v>
      </c>
      <c r="F229" s="17"/>
      <c r="G229" s="17"/>
      <c r="H229" s="17">
        <v>31</v>
      </c>
      <c r="I229" s="17">
        <v>5</v>
      </c>
      <c r="J229" s="17"/>
      <c r="K229" s="20">
        <v>1</v>
      </c>
      <c r="L229" s="20">
        <v>0</v>
      </c>
      <c r="M229" s="20">
        <v>1</v>
      </c>
      <c r="N229" s="20">
        <v>0</v>
      </c>
      <c r="O229" s="20">
        <v>0</v>
      </c>
      <c r="P229" s="20">
        <v>0</v>
      </c>
      <c r="Q229" s="20">
        <v>20</v>
      </c>
      <c r="R229" s="20">
        <v>2</v>
      </c>
      <c r="S229" s="17"/>
      <c r="T229" s="17"/>
      <c r="U229" s="20">
        <v>1</v>
      </c>
      <c r="V229" s="17"/>
      <c r="W229" s="17"/>
      <c r="X229" s="17">
        <v>2</v>
      </c>
      <c r="Y229" s="17">
        <v>2</v>
      </c>
      <c r="Z229" s="17">
        <v>2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 t="s">
        <v>53</v>
      </c>
      <c r="AJ229" s="17"/>
      <c r="AK229" s="21"/>
    </row>
    <row r="230" spans="1:37" x14ac:dyDescent="0.25">
      <c r="A230" s="12" t="s">
        <v>324</v>
      </c>
      <c r="B230" s="12">
        <v>71</v>
      </c>
      <c r="C230" s="12">
        <v>12.5</v>
      </c>
      <c r="D230" s="27">
        <v>43965</v>
      </c>
      <c r="E230" s="14">
        <f>[1]!Tabela1[[#This Row],[PSA]]/[1]!Tabela1[[#This Row],[MRI vol]]</f>
        <v>0.32894736842105265</v>
      </c>
      <c r="F230" s="12"/>
      <c r="G230" s="12"/>
      <c r="H230" s="12">
        <v>38</v>
      </c>
      <c r="I230" s="12">
        <v>4</v>
      </c>
      <c r="J230" s="12"/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12</v>
      </c>
      <c r="R230" s="15">
        <v>2</v>
      </c>
      <c r="S230" s="12"/>
      <c r="T230" s="12"/>
      <c r="U230" s="15">
        <v>1</v>
      </c>
      <c r="V230" s="12"/>
      <c r="W230" s="12"/>
      <c r="X230" s="12">
        <v>3</v>
      </c>
      <c r="Y230" s="12">
        <v>3</v>
      </c>
      <c r="Z230" s="12">
        <v>3</v>
      </c>
      <c r="AA230" s="12">
        <v>0</v>
      </c>
      <c r="AB230" s="12">
        <v>0</v>
      </c>
      <c r="AC230" s="12">
        <v>1</v>
      </c>
      <c r="AD230" s="12">
        <v>0</v>
      </c>
      <c r="AE230" s="12">
        <v>1</v>
      </c>
      <c r="AF230" s="12">
        <v>0</v>
      </c>
      <c r="AG230" s="12">
        <v>0</v>
      </c>
      <c r="AH230" s="12">
        <v>0</v>
      </c>
      <c r="AI230" s="12" t="s">
        <v>47</v>
      </c>
      <c r="AJ230" s="12"/>
      <c r="AK230" s="16"/>
    </row>
    <row r="231" spans="1:37" x14ac:dyDescent="0.25">
      <c r="A231" s="17" t="s">
        <v>325</v>
      </c>
      <c r="B231" s="17">
        <v>64</v>
      </c>
      <c r="C231" s="17">
        <v>14.7</v>
      </c>
      <c r="D231" s="28">
        <v>42880</v>
      </c>
      <c r="E231" s="19">
        <f>[1]!Tabela1[[#This Row],[PSA]]/[1]!Tabela1[[#This Row],[MRI vol]]</f>
        <v>0.52500000000000002</v>
      </c>
      <c r="F231" s="17"/>
      <c r="G231" s="17"/>
      <c r="H231" s="17">
        <v>28</v>
      </c>
      <c r="I231" s="17">
        <v>5</v>
      </c>
      <c r="J231" s="17"/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15</v>
      </c>
      <c r="R231" s="20">
        <v>3</v>
      </c>
      <c r="S231" s="17"/>
      <c r="T231" s="17"/>
      <c r="U231" s="20">
        <v>0</v>
      </c>
      <c r="V231" s="17"/>
      <c r="W231" s="17"/>
      <c r="X231" s="17">
        <v>2</v>
      </c>
      <c r="Y231" s="17">
        <v>2</v>
      </c>
      <c r="Z231" s="17">
        <v>2</v>
      </c>
      <c r="AA231" s="17">
        <v>1</v>
      </c>
      <c r="AB231" s="17">
        <v>0</v>
      </c>
      <c r="AC231" s="17">
        <v>1</v>
      </c>
      <c r="AD231" s="17">
        <v>0</v>
      </c>
      <c r="AE231" s="17">
        <v>1</v>
      </c>
      <c r="AF231" s="17">
        <v>0</v>
      </c>
      <c r="AG231" s="17">
        <v>0</v>
      </c>
      <c r="AH231" s="17">
        <v>0</v>
      </c>
      <c r="AI231" s="17" t="s">
        <v>47</v>
      </c>
      <c r="AJ231" s="17"/>
      <c r="AK231" s="21"/>
    </row>
    <row r="232" spans="1:37" x14ac:dyDescent="0.25">
      <c r="A232" s="12" t="s">
        <v>326</v>
      </c>
      <c r="B232" s="12">
        <v>65</v>
      </c>
      <c r="C232" s="12">
        <v>4.5999999999999996</v>
      </c>
      <c r="D232" s="27">
        <v>42997</v>
      </c>
      <c r="E232" s="14">
        <f>[1]!Tabela1[[#This Row],[PSA]]/[1]!Tabela1[[#This Row],[MRI vol]]</f>
        <v>0.20909090909090908</v>
      </c>
      <c r="F232" s="12"/>
      <c r="G232" s="12"/>
      <c r="H232" s="12">
        <v>22</v>
      </c>
      <c r="I232" s="12">
        <v>3</v>
      </c>
      <c r="J232" s="12"/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7</v>
      </c>
      <c r="R232" s="12"/>
      <c r="S232" s="12"/>
      <c r="T232" s="12"/>
      <c r="U232" s="15">
        <v>1</v>
      </c>
      <c r="V232" s="12"/>
      <c r="W232" s="12"/>
      <c r="X232" s="12">
        <v>2</v>
      </c>
      <c r="Y232" s="12">
        <v>2</v>
      </c>
      <c r="Z232" s="12">
        <v>2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 t="s">
        <v>53</v>
      </c>
      <c r="AJ232" s="12"/>
      <c r="AK232" s="16"/>
    </row>
    <row r="233" spans="1:37" x14ac:dyDescent="0.25">
      <c r="A233" s="17" t="s">
        <v>327</v>
      </c>
      <c r="B233" s="17">
        <v>74</v>
      </c>
      <c r="C233" s="17">
        <v>13.1</v>
      </c>
      <c r="D233" s="28">
        <v>44035</v>
      </c>
      <c r="E233" s="19">
        <f>[1]!Tabela1[[#This Row],[PSA]]/[1]!Tabela1[[#This Row],[MRI vol]]</f>
        <v>0.4517241379310345</v>
      </c>
      <c r="F233" s="17"/>
      <c r="G233" s="17"/>
      <c r="H233" s="17">
        <v>29</v>
      </c>
      <c r="I233" s="17">
        <v>5</v>
      </c>
      <c r="J233" s="17"/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16</v>
      </c>
      <c r="R233" s="20">
        <v>1</v>
      </c>
      <c r="S233" s="17"/>
      <c r="T233" s="17"/>
      <c r="U233" s="20">
        <v>2</v>
      </c>
      <c r="V233" s="17"/>
      <c r="W233" s="17"/>
      <c r="X233" s="17">
        <v>3</v>
      </c>
      <c r="Y233" s="17">
        <v>3</v>
      </c>
      <c r="Z233" s="17">
        <v>3</v>
      </c>
      <c r="AA233" s="17">
        <v>0</v>
      </c>
      <c r="AB233" s="17">
        <v>0</v>
      </c>
      <c r="AC233" s="17">
        <v>1</v>
      </c>
      <c r="AD233" s="17">
        <v>1</v>
      </c>
      <c r="AE233" s="17">
        <v>0</v>
      </c>
      <c r="AF233" s="17">
        <v>0</v>
      </c>
      <c r="AG233" s="17">
        <v>0</v>
      </c>
      <c r="AH233" s="17">
        <v>0</v>
      </c>
      <c r="AI233" s="17" t="s">
        <v>47</v>
      </c>
      <c r="AJ233" s="17"/>
      <c r="AK233" s="21"/>
    </row>
    <row r="234" spans="1:37" x14ac:dyDescent="0.25">
      <c r="A234" s="12" t="s">
        <v>328</v>
      </c>
      <c r="B234" s="12">
        <v>59</v>
      </c>
      <c r="C234" s="12">
        <v>7</v>
      </c>
      <c r="D234" s="27">
        <v>43475</v>
      </c>
      <c r="E234" s="14">
        <f>[1]!Tabela1[[#This Row],[PSA]]/[1]!Tabela1[[#This Row],[MRI vol]]</f>
        <v>0.29166666666666669</v>
      </c>
      <c r="F234" s="12"/>
      <c r="G234" s="12"/>
      <c r="H234" s="12">
        <v>24</v>
      </c>
      <c r="I234" s="12">
        <v>3</v>
      </c>
      <c r="J234" s="12"/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6</v>
      </c>
      <c r="R234" s="15">
        <v>0</v>
      </c>
      <c r="S234" s="12"/>
      <c r="T234" s="12"/>
      <c r="U234" s="15">
        <v>2</v>
      </c>
      <c r="V234" s="12"/>
      <c r="W234" s="12"/>
      <c r="X234" s="12">
        <v>2</v>
      </c>
      <c r="Y234" s="12">
        <v>0</v>
      </c>
      <c r="Z234" s="12">
        <v>2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 t="s">
        <v>130</v>
      </c>
      <c r="AJ234" s="12"/>
      <c r="AK234" s="16"/>
    </row>
    <row r="235" spans="1:37" x14ac:dyDescent="0.25">
      <c r="A235" s="17" t="s">
        <v>329</v>
      </c>
      <c r="B235" s="17">
        <v>52</v>
      </c>
      <c r="C235" s="17">
        <v>51</v>
      </c>
      <c r="D235" s="28">
        <v>43111</v>
      </c>
      <c r="E235" s="19">
        <f>[1]!Tabela1[[#This Row],[PSA]]/[1]!Tabela1[[#This Row],[MRI vol]]</f>
        <v>1.2749999999999999</v>
      </c>
      <c r="F235" s="17"/>
      <c r="G235" s="17"/>
      <c r="H235" s="17">
        <v>40</v>
      </c>
      <c r="I235" s="17">
        <v>5</v>
      </c>
      <c r="J235" s="17"/>
      <c r="K235" s="20">
        <v>1</v>
      </c>
      <c r="L235" s="20">
        <v>0</v>
      </c>
      <c r="M235" s="20">
        <v>1</v>
      </c>
      <c r="N235" s="20">
        <v>1</v>
      </c>
      <c r="O235" s="20">
        <v>0</v>
      </c>
      <c r="P235" s="20">
        <v>1</v>
      </c>
      <c r="Q235" s="17"/>
      <c r="R235" s="20">
        <v>1</v>
      </c>
      <c r="S235" s="17"/>
      <c r="T235" s="17"/>
      <c r="U235" s="20">
        <v>2</v>
      </c>
      <c r="V235" s="17"/>
      <c r="W235" s="17"/>
      <c r="X235" s="17">
        <v>5</v>
      </c>
      <c r="Y235" s="17">
        <v>5</v>
      </c>
      <c r="Z235" s="17">
        <v>4</v>
      </c>
      <c r="AA235" s="17">
        <v>0</v>
      </c>
      <c r="AB235" s="17">
        <v>1</v>
      </c>
      <c r="AC235" s="17">
        <v>1</v>
      </c>
      <c r="AD235" s="17">
        <v>1</v>
      </c>
      <c r="AE235" s="17">
        <v>1</v>
      </c>
      <c r="AF235" s="17">
        <v>1</v>
      </c>
      <c r="AG235" s="17">
        <v>1</v>
      </c>
      <c r="AH235" s="17">
        <v>1</v>
      </c>
      <c r="AI235" s="17" t="s">
        <v>72</v>
      </c>
      <c r="AJ235" s="17"/>
      <c r="AK235" s="21"/>
    </row>
    <row r="236" spans="1:37" x14ac:dyDescent="0.25">
      <c r="A236" s="12" t="s">
        <v>330</v>
      </c>
      <c r="B236" s="12">
        <v>65</v>
      </c>
      <c r="C236" s="12">
        <v>12</v>
      </c>
      <c r="D236" s="27">
        <v>42698</v>
      </c>
      <c r="E236" s="14">
        <f>[1]!Tabela1[[#This Row],[PSA]]/[1]!Tabela1[[#This Row],[MRI vol]]</f>
        <v>0.27906976744186046</v>
      </c>
      <c r="F236" s="12"/>
      <c r="G236" s="12"/>
      <c r="H236" s="12">
        <v>43</v>
      </c>
      <c r="I236" s="12">
        <v>5</v>
      </c>
      <c r="J236" s="12"/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30</v>
      </c>
      <c r="R236" s="15">
        <v>4</v>
      </c>
      <c r="S236" s="12"/>
      <c r="T236" s="12"/>
      <c r="U236" s="15">
        <v>3</v>
      </c>
      <c r="V236" s="12"/>
      <c r="W236" s="12"/>
      <c r="X236" s="12">
        <v>4</v>
      </c>
      <c r="Y236" s="12">
        <v>4</v>
      </c>
      <c r="Z236" s="12">
        <v>4</v>
      </c>
      <c r="AA236" s="12">
        <v>1</v>
      </c>
      <c r="AB236" s="12">
        <v>1</v>
      </c>
      <c r="AC236" s="12">
        <v>1</v>
      </c>
      <c r="AD236" s="12">
        <v>1</v>
      </c>
      <c r="AE236" s="12">
        <v>1</v>
      </c>
      <c r="AF236" s="12">
        <v>1</v>
      </c>
      <c r="AG236" s="12">
        <v>1</v>
      </c>
      <c r="AH236" s="12">
        <v>1</v>
      </c>
      <c r="AI236" s="12" t="s">
        <v>72</v>
      </c>
      <c r="AJ236" s="12"/>
      <c r="AK236" s="16"/>
    </row>
    <row r="237" spans="1:37" x14ac:dyDescent="0.25">
      <c r="A237" s="17" t="s">
        <v>331</v>
      </c>
      <c r="B237" s="17">
        <v>64</v>
      </c>
      <c r="C237" s="17">
        <v>19.899999999999999</v>
      </c>
      <c r="D237" s="28">
        <v>42983</v>
      </c>
      <c r="E237" s="19">
        <f>[1]!Tabela1[[#This Row],[PSA]]/[1]!Tabela1[[#This Row],[MRI vol]]</f>
        <v>0.22873563218390802</v>
      </c>
      <c r="F237" s="17"/>
      <c r="G237" s="17"/>
      <c r="H237" s="17">
        <v>87</v>
      </c>
      <c r="I237" s="17">
        <v>3</v>
      </c>
      <c r="J237" s="17"/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10</v>
      </c>
      <c r="R237" s="20">
        <v>1</v>
      </c>
      <c r="S237" s="17"/>
      <c r="T237" s="17"/>
      <c r="U237" s="20">
        <v>1</v>
      </c>
      <c r="V237" s="17"/>
      <c r="W237" s="17"/>
      <c r="X237" s="17">
        <v>1</v>
      </c>
      <c r="Y237" s="17">
        <v>1</v>
      </c>
      <c r="Z237" s="17">
        <v>1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  <c r="AG237" s="17">
        <v>0</v>
      </c>
      <c r="AH237" s="17">
        <v>0</v>
      </c>
      <c r="AI237" s="17" t="s">
        <v>53</v>
      </c>
      <c r="AJ237" s="17"/>
      <c r="AK237" s="21"/>
    </row>
    <row r="238" spans="1:37" x14ac:dyDescent="0.25">
      <c r="A238" s="12" t="s">
        <v>332</v>
      </c>
      <c r="B238" s="12">
        <v>57</v>
      </c>
      <c r="C238" s="12">
        <v>12.3</v>
      </c>
      <c r="D238" s="27">
        <v>44008</v>
      </c>
      <c r="E238" s="14">
        <f>[1]!Tabela1[[#This Row],[PSA]]/[1]!Tabela1[[#This Row],[MRI vol]]</f>
        <v>0.23207547169811321</v>
      </c>
      <c r="F238" s="12"/>
      <c r="G238" s="12"/>
      <c r="H238" s="12">
        <v>53</v>
      </c>
      <c r="I238" s="12">
        <v>3</v>
      </c>
      <c r="J238" s="12"/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2"/>
      <c r="R238" s="15">
        <v>2</v>
      </c>
      <c r="S238" s="12"/>
      <c r="T238" s="12"/>
      <c r="U238" s="15">
        <v>0</v>
      </c>
      <c r="V238" s="12"/>
      <c r="W238" s="12"/>
      <c r="X238" s="12">
        <v>2</v>
      </c>
      <c r="Y238" s="12">
        <v>2</v>
      </c>
      <c r="Z238" s="12">
        <v>1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 t="s">
        <v>53</v>
      </c>
      <c r="AJ238" s="12"/>
      <c r="AK238" s="16"/>
    </row>
    <row r="239" spans="1:37" x14ac:dyDescent="0.25">
      <c r="A239" s="17" t="s">
        <v>179</v>
      </c>
      <c r="B239" s="17">
        <v>62</v>
      </c>
      <c r="C239" s="17">
        <v>4.3</v>
      </c>
      <c r="D239" s="28">
        <v>42486</v>
      </c>
      <c r="E239" s="19">
        <f>[1]!Tabela1[[#This Row],[PSA]]/[1]!Tabela1[[#This Row],[MRI vol]]</f>
        <v>0.15925925925925924</v>
      </c>
      <c r="F239" s="17"/>
      <c r="G239" s="17"/>
      <c r="H239" s="17">
        <v>27</v>
      </c>
      <c r="I239" s="17">
        <v>5</v>
      </c>
      <c r="J239" s="17"/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16</v>
      </c>
      <c r="R239" s="20">
        <v>2</v>
      </c>
      <c r="S239" s="17"/>
      <c r="T239" s="17"/>
      <c r="U239" s="20">
        <v>0</v>
      </c>
      <c r="V239" s="17"/>
      <c r="W239" s="17"/>
      <c r="X239" s="17">
        <v>3</v>
      </c>
      <c r="Y239" s="17">
        <v>3</v>
      </c>
      <c r="Z239" s="17">
        <v>3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  <c r="AG239" s="17">
        <v>0</v>
      </c>
      <c r="AH239" s="17">
        <v>0</v>
      </c>
      <c r="AI239" s="17" t="s">
        <v>53</v>
      </c>
      <c r="AJ239" s="17"/>
      <c r="AK239" s="21"/>
    </row>
    <row r="240" spans="1:37" x14ac:dyDescent="0.25">
      <c r="A240" s="12" t="s">
        <v>333</v>
      </c>
      <c r="B240" s="12">
        <v>65</v>
      </c>
      <c r="C240" s="12">
        <v>5.5</v>
      </c>
      <c r="D240" s="27">
        <v>44138</v>
      </c>
      <c r="E240" s="14">
        <f>[1]!Tabela1[[#This Row],[PSA]]/[1]!Tabela1[[#This Row],[MRI vol]]</f>
        <v>0.10185185185185185</v>
      </c>
      <c r="F240" s="12"/>
      <c r="G240" s="12"/>
      <c r="H240" s="12">
        <v>54</v>
      </c>
      <c r="I240" s="12">
        <v>5</v>
      </c>
      <c r="J240" s="12"/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25</v>
      </c>
      <c r="R240" s="15">
        <v>2</v>
      </c>
      <c r="S240" s="12"/>
      <c r="T240" s="12"/>
      <c r="U240" s="15">
        <v>2</v>
      </c>
      <c r="V240" s="12"/>
      <c r="W240" s="12"/>
      <c r="X240" s="12">
        <v>3</v>
      </c>
      <c r="Y240" s="12">
        <v>3</v>
      </c>
      <c r="Z240" s="12">
        <v>3</v>
      </c>
      <c r="AA240" s="12">
        <v>1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 t="s">
        <v>53</v>
      </c>
      <c r="AJ240" s="12"/>
      <c r="AK240" s="16"/>
    </row>
    <row r="241" spans="1:37" x14ac:dyDescent="0.25">
      <c r="A241" s="17" t="s">
        <v>334</v>
      </c>
      <c r="B241" s="17">
        <v>52</v>
      </c>
      <c r="C241" s="17">
        <v>8.1999999999999993</v>
      </c>
      <c r="D241" s="28">
        <v>43927</v>
      </c>
      <c r="E241" s="19">
        <f>[1]!Tabela1[[#This Row],[PSA]]/[1]!Tabela1[[#This Row],[MRI vol]]</f>
        <v>0.26451612903225802</v>
      </c>
      <c r="F241" s="17"/>
      <c r="G241" s="17"/>
      <c r="H241" s="17">
        <v>31</v>
      </c>
      <c r="I241" s="17">
        <v>4</v>
      </c>
      <c r="J241" s="17"/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12</v>
      </c>
      <c r="R241" s="20">
        <v>1</v>
      </c>
      <c r="S241" s="17"/>
      <c r="T241" s="17"/>
      <c r="U241" s="20">
        <v>1</v>
      </c>
      <c r="V241" s="17"/>
      <c r="W241" s="17"/>
      <c r="X241" s="17">
        <v>3</v>
      </c>
      <c r="Y241" s="17">
        <v>3</v>
      </c>
      <c r="Z241" s="17">
        <v>3</v>
      </c>
      <c r="AA241" s="17">
        <v>0</v>
      </c>
      <c r="AB241" s="17">
        <v>0</v>
      </c>
      <c r="AC241" s="17">
        <v>0</v>
      </c>
      <c r="AD241" s="17">
        <v>0</v>
      </c>
      <c r="AE241" s="17">
        <v>0</v>
      </c>
      <c r="AF241" s="17">
        <v>0</v>
      </c>
      <c r="AG241" s="17">
        <v>0</v>
      </c>
      <c r="AH241" s="17">
        <v>0</v>
      </c>
      <c r="AI241" s="17" t="s">
        <v>53</v>
      </c>
      <c r="AJ241" s="17"/>
      <c r="AK241" s="21"/>
    </row>
    <row r="242" spans="1:37" x14ac:dyDescent="0.25">
      <c r="A242" s="12" t="s">
        <v>335</v>
      </c>
      <c r="B242" s="12">
        <v>68</v>
      </c>
      <c r="C242" s="12">
        <v>5.8</v>
      </c>
      <c r="D242" s="27">
        <v>43342</v>
      </c>
      <c r="E242" s="14">
        <f>[1]!Tabela1[[#This Row],[PSA]]/[1]!Tabela1[[#This Row],[MRI vol]]</f>
        <v>0.12608695652173912</v>
      </c>
      <c r="F242" s="12"/>
      <c r="G242" s="12"/>
      <c r="H242" s="12">
        <v>46</v>
      </c>
      <c r="I242" s="12">
        <v>3</v>
      </c>
      <c r="J242" s="12"/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2"/>
      <c r="R242" s="15">
        <v>3</v>
      </c>
      <c r="S242" s="12"/>
      <c r="T242" s="12"/>
      <c r="U242" s="15">
        <v>2</v>
      </c>
      <c r="V242" s="12"/>
      <c r="W242" s="12"/>
      <c r="X242" s="12">
        <v>2</v>
      </c>
      <c r="Y242" s="12">
        <v>2</v>
      </c>
      <c r="Z242" s="12">
        <v>2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 t="s">
        <v>53</v>
      </c>
      <c r="AJ242" s="12"/>
      <c r="AK242" s="16"/>
    </row>
    <row r="243" spans="1:37" x14ac:dyDescent="0.25">
      <c r="A243" s="17" t="s">
        <v>336</v>
      </c>
      <c r="B243" s="17">
        <v>71</v>
      </c>
      <c r="C243" s="17">
        <v>6.8</v>
      </c>
      <c r="D243" s="28">
        <v>43439</v>
      </c>
      <c r="E243" s="19">
        <f>[1]!Tabela1[[#This Row],[PSA]]/[1]!Tabela1[[#This Row],[MRI vol]]</f>
        <v>7.0103092783505155E-2</v>
      </c>
      <c r="F243" s="17"/>
      <c r="G243" s="17"/>
      <c r="H243" s="17">
        <v>97</v>
      </c>
      <c r="I243" s="17">
        <v>4</v>
      </c>
      <c r="J243" s="17"/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12</v>
      </c>
      <c r="R243" s="20">
        <v>1</v>
      </c>
      <c r="S243" s="17"/>
      <c r="T243" s="17"/>
      <c r="U243" s="20">
        <v>1</v>
      </c>
      <c r="V243" s="17"/>
      <c r="W243" s="17"/>
      <c r="X243" s="17">
        <v>1</v>
      </c>
      <c r="Y243" s="17">
        <v>1</v>
      </c>
      <c r="Z243" s="17">
        <v>1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 t="s">
        <v>53</v>
      </c>
      <c r="AJ243" s="17"/>
      <c r="AK243" s="21"/>
    </row>
    <row r="244" spans="1:37" x14ac:dyDescent="0.25">
      <c r="A244" s="12" t="s">
        <v>337</v>
      </c>
      <c r="B244" s="12">
        <v>63</v>
      </c>
      <c r="C244" s="12">
        <v>4.5</v>
      </c>
      <c r="D244" s="27">
        <v>42884</v>
      </c>
      <c r="E244" s="14">
        <f>[1]!Tabela1[[#This Row],[PSA]]/[1]!Tabela1[[#This Row],[MRI vol]]</f>
        <v>9.5744680851063829E-2</v>
      </c>
      <c r="F244" s="12"/>
      <c r="G244" s="12"/>
      <c r="H244" s="12">
        <v>47</v>
      </c>
      <c r="I244" s="12">
        <v>3</v>
      </c>
      <c r="J244" s="12"/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19</v>
      </c>
      <c r="R244" s="15">
        <v>3</v>
      </c>
      <c r="S244" s="12"/>
      <c r="T244" s="12"/>
      <c r="U244" s="15">
        <v>0</v>
      </c>
      <c r="V244" s="12"/>
      <c r="W244" s="12"/>
      <c r="X244" s="12">
        <v>2</v>
      </c>
      <c r="Y244" s="12">
        <v>2</v>
      </c>
      <c r="Z244" s="12">
        <v>2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1</v>
      </c>
      <c r="AG244" s="12">
        <v>1</v>
      </c>
      <c r="AH244" s="12">
        <v>1</v>
      </c>
      <c r="AI244" s="12" t="s">
        <v>72</v>
      </c>
      <c r="AJ244" s="12"/>
      <c r="AK244" s="16"/>
    </row>
    <row r="245" spans="1:37" x14ac:dyDescent="0.25">
      <c r="A245" s="17" t="s">
        <v>338</v>
      </c>
      <c r="B245" s="17">
        <v>51</v>
      </c>
      <c r="C245" s="17">
        <v>11.9</v>
      </c>
      <c r="D245" s="28">
        <v>42676</v>
      </c>
      <c r="E245" s="19">
        <f>[1]!Tabela1[[#This Row],[PSA]]/[1]!Tabela1[[#This Row],[MRI vol]]</f>
        <v>0.31315789473684214</v>
      </c>
      <c r="F245" s="17"/>
      <c r="G245" s="17"/>
      <c r="H245" s="17">
        <v>38</v>
      </c>
      <c r="I245" s="17">
        <v>5</v>
      </c>
      <c r="J245" s="17"/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12</v>
      </c>
      <c r="R245" s="20">
        <v>0</v>
      </c>
      <c r="S245" s="17"/>
      <c r="T245" s="17"/>
      <c r="U245" s="20">
        <v>1</v>
      </c>
      <c r="V245" s="17"/>
      <c r="W245" s="17"/>
      <c r="X245" s="17">
        <v>1</v>
      </c>
      <c r="Y245" s="17">
        <v>1</v>
      </c>
      <c r="Z245" s="17">
        <v>1</v>
      </c>
      <c r="AA245" s="17">
        <v>0</v>
      </c>
      <c r="AB245" s="17">
        <v>0</v>
      </c>
      <c r="AC245" s="17">
        <v>0</v>
      </c>
      <c r="AD245" s="17">
        <v>0</v>
      </c>
      <c r="AE245" s="17">
        <v>0</v>
      </c>
      <c r="AF245" s="17">
        <v>0</v>
      </c>
      <c r="AG245" s="17">
        <v>0</v>
      </c>
      <c r="AH245" s="17">
        <v>0</v>
      </c>
      <c r="AI245" s="17" t="s">
        <v>53</v>
      </c>
      <c r="AJ245" s="17"/>
      <c r="AK245" s="21"/>
    </row>
    <row r="246" spans="1:37" x14ac:dyDescent="0.25">
      <c r="A246" s="12" t="s">
        <v>339</v>
      </c>
      <c r="B246" s="12">
        <v>65</v>
      </c>
      <c r="C246" s="12">
        <v>4.3</v>
      </c>
      <c r="D246" s="27">
        <v>42880</v>
      </c>
      <c r="E246" s="14">
        <f>[1]!Tabela1[[#This Row],[PSA]]/[1]!Tabela1[[#This Row],[MRI vol]]</f>
        <v>0.22631578947368419</v>
      </c>
      <c r="F246" s="12"/>
      <c r="G246" s="12"/>
      <c r="H246" s="12">
        <v>19</v>
      </c>
      <c r="I246" s="12">
        <v>5</v>
      </c>
      <c r="J246" s="12"/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18</v>
      </c>
      <c r="R246" s="15">
        <v>1</v>
      </c>
      <c r="S246" s="12"/>
      <c r="T246" s="12"/>
      <c r="U246" s="15">
        <v>0</v>
      </c>
      <c r="V246" s="12"/>
      <c r="W246" s="12"/>
      <c r="X246" s="12">
        <v>1</v>
      </c>
      <c r="Y246" s="12">
        <v>1</v>
      </c>
      <c r="Z246" s="12">
        <v>1</v>
      </c>
      <c r="AA246" s="12">
        <v>1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 t="s">
        <v>53</v>
      </c>
      <c r="AJ246" s="12"/>
      <c r="AK246" s="16"/>
    </row>
    <row r="247" spans="1:37" x14ac:dyDescent="0.25">
      <c r="A247" s="17" t="s">
        <v>340</v>
      </c>
      <c r="B247" s="17">
        <v>64</v>
      </c>
      <c r="C247" s="17">
        <v>6.1</v>
      </c>
      <c r="D247" s="28">
        <v>42465</v>
      </c>
      <c r="E247" s="19">
        <f>[1]!Tabela1[[#This Row],[PSA]]/[1]!Tabela1[[#This Row],[MRI vol]]</f>
        <v>0.12708333333333333</v>
      </c>
      <c r="F247" s="17"/>
      <c r="G247" s="17"/>
      <c r="H247" s="17">
        <v>48</v>
      </c>
      <c r="I247" s="17">
        <v>5</v>
      </c>
      <c r="J247" s="17"/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17</v>
      </c>
      <c r="R247" s="20">
        <v>1</v>
      </c>
      <c r="S247" s="17"/>
      <c r="T247" s="17"/>
      <c r="U247" s="20">
        <v>1</v>
      </c>
      <c r="V247" s="17"/>
      <c r="W247" s="17"/>
      <c r="X247" s="17">
        <v>2</v>
      </c>
      <c r="Y247" s="17">
        <v>2</v>
      </c>
      <c r="Z247" s="17">
        <v>2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 t="s">
        <v>53</v>
      </c>
      <c r="AJ247" s="17"/>
      <c r="AK247" s="21"/>
    </row>
    <row r="248" spans="1:37" x14ac:dyDescent="0.25">
      <c r="A248" s="12" t="s">
        <v>341</v>
      </c>
      <c r="B248" s="12">
        <v>59</v>
      </c>
      <c r="C248" s="12">
        <v>4.2</v>
      </c>
      <c r="D248" s="27">
        <v>42948</v>
      </c>
      <c r="E248" s="14">
        <f>[1]!Tabela1[[#This Row],[PSA]]/[1]!Tabela1[[#This Row],[MRI vol]]</f>
        <v>0.2</v>
      </c>
      <c r="F248" s="12"/>
      <c r="G248" s="12"/>
      <c r="H248" s="12">
        <v>21</v>
      </c>
      <c r="I248" s="12">
        <v>5</v>
      </c>
      <c r="J248" s="12"/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12</v>
      </c>
      <c r="R248" s="15">
        <v>0</v>
      </c>
      <c r="S248" s="12"/>
      <c r="T248" s="12"/>
      <c r="U248" s="15">
        <v>5</v>
      </c>
      <c r="V248" s="12"/>
      <c r="W248" s="12"/>
      <c r="X248" s="12">
        <v>3</v>
      </c>
      <c r="Y248" s="12">
        <v>3</v>
      </c>
      <c r="Z248" s="12">
        <v>3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 t="s">
        <v>53</v>
      </c>
      <c r="AJ248" s="12"/>
      <c r="AK248" s="16"/>
    </row>
    <row r="249" spans="1:37" x14ac:dyDescent="0.25">
      <c r="A249" s="17" t="s">
        <v>342</v>
      </c>
      <c r="B249" s="17">
        <v>62</v>
      </c>
      <c r="C249" s="17">
        <v>8</v>
      </c>
      <c r="D249" s="28">
        <v>42845</v>
      </c>
      <c r="E249" s="19">
        <f>[1]!Tabela1[[#This Row],[PSA]]/[1]!Tabela1[[#This Row],[MRI vol]]</f>
        <v>0.15094339622641509</v>
      </c>
      <c r="F249" s="17"/>
      <c r="G249" s="17"/>
      <c r="H249" s="17">
        <v>53</v>
      </c>
      <c r="I249" s="17">
        <v>3</v>
      </c>
      <c r="J249" s="17"/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6</v>
      </c>
      <c r="R249" s="20">
        <v>1</v>
      </c>
      <c r="S249" s="17"/>
      <c r="T249" s="17"/>
      <c r="U249" s="20">
        <v>0</v>
      </c>
      <c r="V249" s="17"/>
      <c r="W249" s="17"/>
      <c r="X249" s="17">
        <v>1</v>
      </c>
      <c r="Y249" s="17">
        <v>1</v>
      </c>
      <c r="Z249" s="17">
        <v>1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 t="s">
        <v>53</v>
      </c>
      <c r="AJ249" s="17"/>
      <c r="AK249" s="21"/>
    </row>
    <row r="250" spans="1:37" x14ac:dyDescent="0.25">
      <c r="A250" s="12" t="s">
        <v>343</v>
      </c>
      <c r="B250" s="12">
        <v>52</v>
      </c>
      <c r="C250" s="12">
        <v>9.5</v>
      </c>
      <c r="D250" s="27">
        <v>42893</v>
      </c>
      <c r="E250" s="14">
        <f>[1]!Tabela1[[#This Row],[PSA]]/[1]!Tabela1[[#This Row],[MRI vol]]</f>
        <v>0.30645161290322581</v>
      </c>
      <c r="F250" s="12"/>
      <c r="G250" s="12"/>
      <c r="H250" s="12">
        <v>31</v>
      </c>
      <c r="I250" s="12">
        <v>4</v>
      </c>
      <c r="J250" s="12"/>
      <c r="K250" s="15">
        <v>0</v>
      </c>
      <c r="L250" s="15">
        <v>0</v>
      </c>
      <c r="M250" s="15">
        <v>0</v>
      </c>
      <c r="N250" s="15">
        <v>1</v>
      </c>
      <c r="O250" s="15">
        <v>0</v>
      </c>
      <c r="P250" s="15">
        <v>1</v>
      </c>
      <c r="Q250" s="15">
        <v>35</v>
      </c>
      <c r="R250" s="15">
        <v>1</v>
      </c>
      <c r="S250" s="12"/>
      <c r="T250" s="12"/>
      <c r="U250" s="15">
        <v>1</v>
      </c>
      <c r="V250" s="12"/>
      <c r="W250" s="12"/>
      <c r="X250" s="12">
        <v>2</v>
      </c>
      <c r="Y250" s="12">
        <v>2</v>
      </c>
      <c r="Z250" s="12">
        <v>2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 t="s">
        <v>53</v>
      </c>
      <c r="AJ250" s="12"/>
      <c r="AK250" s="16"/>
    </row>
    <row r="251" spans="1:37" x14ac:dyDescent="0.25">
      <c r="A251" s="17" t="s">
        <v>344</v>
      </c>
      <c r="B251" s="17">
        <v>67</v>
      </c>
      <c r="C251" s="17">
        <v>6.8</v>
      </c>
      <c r="D251" s="28">
        <v>43144</v>
      </c>
      <c r="E251" s="19">
        <f>[1]!Tabela1[[#This Row],[PSA]]/[1]!Tabela1[[#This Row],[MRI vol]]</f>
        <v>0.27200000000000002</v>
      </c>
      <c r="F251" s="17"/>
      <c r="G251" s="17"/>
      <c r="H251" s="17">
        <v>25</v>
      </c>
      <c r="I251" s="17">
        <v>4</v>
      </c>
      <c r="J251" s="17"/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10</v>
      </c>
      <c r="R251" s="20">
        <v>0</v>
      </c>
      <c r="S251" s="17"/>
      <c r="T251" s="17"/>
      <c r="U251" s="20">
        <v>2</v>
      </c>
      <c r="V251" s="17"/>
      <c r="W251" s="17"/>
      <c r="X251" s="17">
        <v>3</v>
      </c>
      <c r="Y251" s="17">
        <v>0</v>
      </c>
      <c r="Z251" s="17">
        <v>3</v>
      </c>
      <c r="AA251" s="17">
        <v>0</v>
      </c>
      <c r="AB251" s="17">
        <v>0</v>
      </c>
      <c r="AC251" s="17">
        <v>1</v>
      </c>
      <c r="AD251" s="17">
        <v>1</v>
      </c>
      <c r="AE251" s="17">
        <v>0</v>
      </c>
      <c r="AF251" s="17">
        <v>0</v>
      </c>
      <c r="AG251" s="17">
        <v>0</v>
      </c>
      <c r="AH251" s="17">
        <v>0</v>
      </c>
      <c r="AI251" s="17" t="s">
        <v>182</v>
      </c>
      <c r="AJ251" s="17"/>
      <c r="AK251" s="21"/>
    </row>
    <row r="252" spans="1:37" x14ac:dyDescent="0.25">
      <c r="A252" s="12" t="s">
        <v>345</v>
      </c>
      <c r="B252" s="12">
        <v>65</v>
      </c>
      <c r="C252" s="12">
        <v>12.1</v>
      </c>
      <c r="D252" s="27">
        <v>42681</v>
      </c>
      <c r="E252" s="14">
        <f>[1]!Tabela1[[#This Row],[PSA]]/[1]!Tabela1[[#This Row],[MRI vol]]</f>
        <v>0.33611111111111108</v>
      </c>
      <c r="F252" s="12"/>
      <c r="G252" s="12"/>
      <c r="H252" s="12">
        <v>36</v>
      </c>
      <c r="I252" s="12">
        <v>5</v>
      </c>
      <c r="J252" s="12"/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17</v>
      </c>
      <c r="R252" s="12"/>
      <c r="S252" s="12"/>
      <c r="T252" s="12"/>
      <c r="U252" s="12"/>
      <c r="V252" s="12"/>
      <c r="W252" s="12"/>
      <c r="X252" s="12">
        <v>3</v>
      </c>
      <c r="Y252" s="12">
        <v>3</v>
      </c>
      <c r="Z252" s="12">
        <v>3</v>
      </c>
      <c r="AA252" s="12">
        <v>0</v>
      </c>
      <c r="AB252" s="12">
        <v>0</v>
      </c>
      <c r="AC252" s="12">
        <v>1</v>
      </c>
      <c r="AD252" s="12">
        <v>0</v>
      </c>
      <c r="AE252" s="12">
        <v>1</v>
      </c>
      <c r="AF252" s="12">
        <v>0</v>
      </c>
      <c r="AG252" s="12">
        <v>0</v>
      </c>
      <c r="AH252" s="12">
        <v>0</v>
      </c>
      <c r="AI252" s="12" t="s">
        <v>47</v>
      </c>
      <c r="AJ252" s="12"/>
      <c r="AK252" s="16"/>
    </row>
    <row r="253" spans="1:37" x14ac:dyDescent="0.25">
      <c r="A253" s="17" t="s">
        <v>346</v>
      </c>
      <c r="B253" s="17">
        <v>65</v>
      </c>
      <c r="C253" s="17">
        <v>6.5</v>
      </c>
      <c r="D253" s="28">
        <v>43518</v>
      </c>
      <c r="E253" s="19">
        <f>[1]!Tabela1[[#This Row],[PSA]]/[1]!Tabela1[[#This Row],[MRI vol]]</f>
        <v>0.13829787234042554</v>
      </c>
      <c r="F253" s="17"/>
      <c r="G253" s="17"/>
      <c r="H253" s="17">
        <v>47</v>
      </c>
      <c r="I253" s="17">
        <v>3</v>
      </c>
      <c r="J253" s="17"/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10</v>
      </c>
      <c r="R253" s="20">
        <v>2</v>
      </c>
      <c r="S253" s="17"/>
      <c r="T253" s="17"/>
      <c r="U253" s="20">
        <v>3</v>
      </c>
      <c r="V253" s="17"/>
      <c r="W253" s="17"/>
      <c r="X253" s="17">
        <v>2</v>
      </c>
      <c r="Y253" s="17">
        <v>1</v>
      </c>
      <c r="Z253" s="17">
        <v>2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 t="s">
        <v>53</v>
      </c>
      <c r="AJ253" s="17"/>
      <c r="AK253" s="21"/>
    </row>
    <row r="254" spans="1:37" x14ac:dyDescent="0.25">
      <c r="A254" s="12" t="s">
        <v>347</v>
      </c>
      <c r="B254" s="12">
        <v>57</v>
      </c>
      <c r="C254" s="12">
        <v>4.3</v>
      </c>
      <c r="D254" s="27">
        <v>43173</v>
      </c>
      <c r="E254" s="14">
        <f>[1]!Tabela1[[#This Row],[PSA]]/[1]!Tabela1[[#This Row],[MRI vol]]</f>
        <v>0.11944444444444444</v>
      </c>
      <c r="F254" s="12"/>
      <c r="G254" s="12"/>
      <c r="H254" s="12">
        <v>36</v>
      </c>
      <c r="I254" s="12">
        <v>4</v>
      </c>
      <c r="J254" s="12"/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12</v>
      </c>
      <c r="R254" s="15">
        <v>3</v>
      </c>
      <c r="S254" s="12"/>
      <c r="T254" s="12"/>
      <c r="U254" s="15">
        <v>0</v>
      </c>
      <c r="V254" s="12"/>
      <c r="W254" s="12"/>
      <c r="X254" s="12">
        <v>3</v>
      </c>
      <c r="Y254" s="12">
        <v>3</v>
      </c>
      <c r="Z254" s="12">
        <v>3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 t="s">
        <v>53</v>
      </c>
      <c r="AJ254" s="12"/>
      <c r="AK254" s="16"/>
    </row>
    <row r="255" spans="1:37" x14ac:dyDescent="0.25">
      <c r="A255" s="17" t="s">
        <v>348</v>
      </c>
      <c r="B255" s="17">
        <v>76</v>
      </c>
      <c r="C255" s="17">
        <v>19.2</v>
      </c>
      <c r="D255" s="28">
        <v>42766</v>
      </c>
      <c r="E255" s="19">
        <f>[1]!Tabela1[[#This Row],[PSA]]/[1]!Tabela1[[#This Row],[MRI vol]]</f>
        <v>0.25263157894736843</v>
      </c>
      <c r="F255" s="17"/>
      <c r="G255" s="17"/>
      <c r="H255" s="17">
        <v>76</v>
      </c>
      <c r="I255" s="17">
        <v>5</v>
      </c>
      <c r="J255" s="17"/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29</v>
      </c>
      <c r="R255" s="20">
        <v>2</v>
      </c>
      <c r="S255" s="17"/>
      <c r="T255" s="17"/>
      <c r="U255" s="20">
        <v>0</v>
      </c>
      <c r="V255" s="17"/>
      <c r="W255" s="17"/>
      <c r="X255" s="17">
        <v>2</v>
      </c>
      <c r="Y255" s="17">
        <v>2</v>
      </c>
      <c r="Z255" s="17">
        <v>2</v>
      </c>
      <c r="AA255" s="17">
        <v>0</v>
      </c>
      <c r="AB255" s="17">
        <v>0</v>
      </c>
      <c r="AC255" s="17">
        <v>1</v>
      </c>
      <c r="AD255" s="17">
        <v>0</v>
      </c>
      <c r="AE255" s="17">
        <v>1</v>
      </c>
      <c r="AF255" s="17">
        <v>0</v>
      </c>
      <c r="AG255" s="17">
        <v>0</v>
      </c>
      <c r="AH255" s="17">
        <v>0</v>
      </c>
      <c r="AI255" s="17" t="s">
        <v>47</v>
      </c>
      <c r="AJ255" s="17"/>
      <c r="AK255" s="21"/>
    </row>
    <row r="256" spans="1:37" x14ac:dyDescent="0.25">
      <c r="A256" s="12" t="s">
        <v>349</v>
      </c>
      <c r="B256" s="12">
        <v>68</v>
      </c>
      <c r="C256" s="12">
        <v>18.7</v>
      </c>
      <c r="D256" s="27">
        <v>43189</v>
      </c>
      <c r="E256" s="14">
        <f>[1]!Tabela1[[#This Row],[PSA]]/[1]!Tabela1[[#This Row],[MRI vol]]</f>
        <v>0.35961538461538461</v>
      </c>
      <c r="F256" s="12"/>
      <c r="G256" s="12"/>
      <c r="H256" s="12">
        <v>52</v>
      </c>
      <c r="I256" s="12">
        <v>5</v>
      </c>
      <c r="J256" s="12"/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15</v>
      </c>
      <c r="R256" s="12"/>
      <c r="S256" s="12"/>
      <c r="T256" s="12"/>
      <c r="U256" s="12"/>
      <c r="V256" s="12"/>
      <c r="W256" s="12"/>
      <c r="X256" s="12">
        <v>4</v>
      </c>
      <c r="Y256" s="12">
        <v>4</v>
      </c>
      <c r="Z256" s="12">
        <v>4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 t="s">
        <v>53</v>
      </c>
      <c r="AJ256" s="12"/>
      <c r="AK256" s="16"/>
    </row>
    <row r="257" spans="1:37" x14ac:dyDescent="0.25">
      <c r="A257" s="17" t="s">
        <v>350</v>
      </c>
      <c r="B257" s="17">
        <v>63</v>
      </c>
      <c r="C257" s="17">
        <v>5.2</v>
      </c>
      <c r="D257" s="28">
        <v>43277</v>
      </c>
      <c r="E257" s="19">
        <f>[1]!Tabela1[[#This Row],[PSA]]/[1]!Tabela1[[#This Row],[MRI vol]]</f>
        <v>0.14054054054054055</v>
      </c>
      <c r="F257" s="17"/>
      <c r="G257" s="17"/>
      <c r="H257" s="17">
        <v>37</v>
      </c>
      <c r="I257" s="17">
        <v>4</v>
      </c>
      <c r="J257" s="17"/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11</v>
      </c>
      <c r="R257" s="20">
        <v>2</v>
      </c>
      <c r="S257" s="17"/>
      <c r="T257" s="17"/>
      <c r="U257" s="20">
        <v>0</v>
      </c>
      <c r="V257" s="17"/>
      <c r="W257" s="17"/>
      <c r="X257" s="17">
        <v>1</v>
      </c>
      <c r="Y257" s="17">
        <v>1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  <c r="AG257" s="17">
        <v>0</v>
      </c>
      <c r="AH257" s="17">
        <v>0</v>
      </c>
      <c r="AI257" s="17" t="s">
        <v>130</v>
      </c>
      <c r="AJ257" s="17"/>
      <c r="AK257" s="21"/>
    </row>
    <row r="258" spans="1:37" x14ac:dyDescent="0.25">
      <c r="A258" s="12" t="s">
        <v>351</v>
      </c>
      <c r="B258" s="12">
        <v>64</v>
      </c>
      <c r="C258" s="12">
        <v>7.9</v>
      </c>
      <c r="D258" s="27">
        <v>42971</v>
      </c>
      <c r="E258" s="14">
        <f>[1]!Tabela1[[#This Row],[PSA]]/[1]!Tabela1[[#This Row],[MRI vol]]</f>
        <v>0.25483870967741934</v>
      </c>
      <c r="F258" s="12"/>
      <c r="G258" s="12"/>
      <c r="H258" s="12">
        <v>31</v>
      </c>
      <c r="I258" s="12">
        <v>4</v>
      </c>
      <c r="J258" s="12"/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17</v>
      </c>
      <c r="R258" s="15">
        <v>1</v>
      </c>
      <c r="S258" s="12"/>
      <c r="T258" s="12"/>
      <c r="U258" s="15">
        <v>1</v>
      </c>
      <c r="V258" s="12"/>
      <c r="W258" s="12"/>
      <c r="X258" s="12">
        <v>1</v>
      </c>
      <c r="Y258" s="12">
        <v>1</v>
      </c>
      <c r="Z258" s="12">
        <v>1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 t="s">
        <v>53</v>
      </c>
      <c r="AJ258" s="12"/>
      <c r="AK258" s="16"/>
    </row>
    <row r="259" spans="1:37" x14ac:dyDescent="0.25">
      <c r="A259" s="17" t="s">
        <v>352</v>
      </c>
      <c r="B259" s="17">
        <v>66</v>
      </c>
      <c r="C259" s="17">
        <v>10.199999999999999</v>
      </c>
      <c r="D259" s="28">
        <v>43266</v>
      </c>
      <c r="E259" s="19">
        <f>[1]!Tabela1[[#This Row],[PSA]]/[1]!Tabela1[[#This Row],[MRI vol]]</f>
        <v>0.37777777777777777</v>
      </c>
      <c r="F259" s="17"/>
      <c r="G259" s="17"/>
      <c r="H259" s="17">
        <v>27</v>
      </c>
      <c r="I259" s="17">
        <v>4</v>
      </c>
      <c r="J259" s="17"/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8</v>
      </c>
      <c r="R259" s="20">
        <v>1</v>
      </c>
      <c r="S259" s="17"/>
      <c r="T259" s="17"/>
      <c r="U259" s="20">
        <v>1</v>
      </c>
      <c r="V259" s="17"/>
      <c r="W259" s="17"/>
      <c r="X259" s="17">
        <v>2</v>
      </c>
      <c r="Y259" s="17">
        <v>2</v>
      </c>
      <c r="Z259" s="17">
        <v>2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 t="s">
        <v>53</v>
      </c>
      <c r="AJ259" s="17"/>
      <c r="AK259" s="21"/>
    </row>
    <row r="260" spans="1:37" x14ac:dyDescent="0.25">
      <c r="A260" s="12" t="s">
        <v>353</v>
      </c>
      <c r="B260" s="12">
        <v>66</v>
      </c>
      <c r="C260" s="12">
        <v>6.9</v>
      </c>
      <c r="D260" s="27">
        <v>43374</v>
      </c>
      <c r="E260" s="14">
        <f>[1]!Tabela1[[#This Row],[PSA]]/[1]!Tabela1[[#This Row],[MRI vol]]</f>
        <v>0.16428571428571428</v>
      </c>
      <c r="F260" s="12"/>
      <c r="G260" s="12"/>
      <c r="H260" s="12">
        <v>42</v>
      </c>
      <c r="I260" s="12">
        <v>3</v>
      </c>
      <c r="J260" s="12"/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6</v>
      </c>
      <c r="R260" s="15">
        <v>2</v>
      </c>
      <c r="S260" s="12"/>
      <c r="T260" s="12"/>
      <c r="U260" s="15">
        <v>0</v>
      </c>
      <c r="V260" s="12"/>
      <c r="W260" s="12"/>
      <c r="X260" s="12">
        <v>2</v>
      </c>
      <c r="Y260" s="12">
        <v>0</v>
      </c>
      <c r="Z260" s="12">
        <v>2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 t="s">
        <v>130</v>
      </c>
      <c r="AJ260" s="12"/>
      <c r="AK260" s="16"/>
    </row>
    <row r="261" spans="1:37" x14ac:dyDescent="0.25">
      <c r="A261" s="17" t="s">
        <v>354</v>
      </c>
      <c r="B261" s="17">
        <v>64</v>
      </c>
      <c r="C261" s="17">
        <v>58</v>
      </c>
      <c r="D261" s="28">
        <v>43885</v>
      </c>
      <c r="E261" s="19">
        <f>[1]!Tabela1[[#This Row],[PSA]]/[1]!Tabela1[[#This Row],[MRI vol]]</f>
        <v>0.81690140845070425</v>
      </c>
      <c r="F261" s="17"/>
      <c r="G261" s="17"/>
      <c r="H261" s="17">
        <v>71</v>
      </c>
      <c r="I261" s="17">
        <v>5</v>
      </c>
      <c r="J261" s="17"/>
      <c r="K261" s="20">
        <v>1</v>
      </c>
      <c r="L261" s="20">
        <v>0</v>
      </c>
      <c r="M261" s="20">
        <v>1</v>
      </c>
      <c r="N261" s="20">
        <v>1</v>
      </c>
      <c r="O261" s="20">
        <v>0</v>
      </c>
      <c r="P261" s="20">
        <v>1</v>
      </c>
      <c r="Q261" s="20">
        <v>44</v>
      </c>
      <c r="R261" s="20">
        <v>5</v>
      </c>
      <c r="S261" s="17"/>
      <c r="T261" s="17"/>
      <c r="U261" s="20">
        <v>5</v>
      </c>
      <c r="V261" s="17"/>
      <c r="W261" s="17"/>
      <c r="X261" s="17">
        <v>4</v>
      </c>
      <c r="Y261" s="17">
        <v>4</v>
      </c>
      <c r="Z261" s="17">
        <v>4</v>
      </c>
      <c r="AA261" s="17">
        <v>0</v>
      </c>
      <c r="AB261" s="17">
        <v>1</v>
      </c>
      <c r="AC261" s="17">
        <v>1</v>
      </c>
      <c r="AD261" s="17">
        <v>1</v>
      </c>
      <c r="AE261" s="17">
        <v>1</v>
      </c>
      <c r="AF261" s="17">
        <v>1</v>
      </c>
      <c r="AG261" s="17">
        <v>1</v>
      </c>
      <c r="AH261" s="17">
        <v>1</v>
      </c>
      <c r="AI261" s="17" t="s">
        <v>72</v>
      </c>
      <c r="AJ261" s="17"/>
      <c r="AK261" s="21"/>
    </row>
    <row r="262" spans="1:37" x14ac:dyDescent="0.25">
      <c r="A262" s="12" t="s">
        <v>355</v>
      </c>
      <c r="B262" s="12">
        <v>66</v>
      </c>
      <c r="C262" s="12"/>
      <c r="D262" s="27">
        <v>43403</v>
      </c>
      <c r="E262" s="14">
        <f>[1]!Tabela1[[#This Row],[PSA]]/[1]!Tabela1[[#This Row],[MRI vol]]</f>
        <v>0</v>
      </c>
      <c r="F262" s="12"/>
      <c r="G262" s="12"/>
      <c r="H262" s="12">
        <v>45</v>
      </c>
      <c r="I262" s="12">
        <v>5</v>
      </c>
      <c r="J262" s="12"/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18</v>
      </c>
      <c r="R262" s="15">
        <v>2</v>
      </c>
      <c r="S262" s="12"/>
      <c r="T262" s="12"/>
      <c r="U262" s="15">
        <v>1</v>
      </c>
      <c r="V262" s="12"/>
      <c r="W262" s="12"/>
      <c r="X262" s="12">
        <v>3</v>
      </c>
      <c r="Y262" s="12">
        <v>3</v>
      </c>
      <c r="Z262" s="12">
        <v>3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 t="s">
        <v>53</v>
      </c>
      <c r="AJ262" s="12"/>
      <c r="AK262" s="16"/>
    </row>
    <row r="263" spans="1:37" x14ac:dyDescent="0.25">
      <c r="A263" s="17" t="s">
        <v>356</v>
      </c>
      <c r="B263" s="17">
        <v>68</v>
      </c>
      <c r="C263" s="17">
        <v>16.399999999999999</v>
      </c>
      <c r="D263" s="28">
        <v>42788</v>
      </c>
      <c r="E263" s="19">
        <f>[1]!Tabela1[[#This Row],[PSA]]/[1]!Tabela1[[#This Row],[MRI vol]]</f>
        <v>0.28275862068965513</v>
      </c>
      <c r="F263" s="17"/>
      <c r="G263" s="17"/>
      <c r="H263" s="17">
        <v>58</v>
      </c>
      <c r="I263" s="17">
        <v>4</v>
      </c>
      <c r="J263" s="17"/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5</v>
      </c>
      <c r="R263" s="20">
        <v>1</v>
      </c>
      <c r="S263" s="17"/>
      <c r="T263" s="17"/>
      <c r="U263" s="20">
        <v>1</v>
      </c>
      <c r="V263" s="17"/>
      <c r="W263" s="17"/>
      <c r="X263" s="17">
        <v>3</v>
      </c>
      <c r="Y263" s="17">
        <v>3</v>
      </c>
      <c r="Z263" s="17">
        <v>2</v>
      </c>
      <c r="AA263" s="17">
        <v>1</v>
      </c>
      <c r="AB263" s="17">
        <v>0</v>
      </c>
      <c r="AC263" s="17">
        <v>1</v>
      </c>
      <c r="AD263" s="17">
        <v>1</v>
      </c>
      <c r="AE263" s="17">
        <v>1</v>
      </c>
      <c r="AF263" s="17">
        <v>0</v>
      </c>
      <c r="AG263" s="17">
        <v>0</v>
      </c>
      <c r="AH263" s="17">
        <v>0</v>
      </c>
      <c r="AI263" s="17" t="s">
        <v>47</v>
      </c>
      <c r="AJ263" s="17"/>
      <c r="AK263" s="21"/>
    </row>
    <row r="264" spans="1:37" x14ac:dyDescent="0.25">
      <c r="A264" s="12" t="s">
        <v>357</v>
      </c>
      <c r="B264" s="12">
        <v>67</v>
      </c>
      <c r="C264" s="12">
        <v>15.9</v>
      </c>
      <c r="D264" s="27">
        <v>43258</v>
      </c>
      <c r="E264" s="14">
        <f>[1]!Tabela1[[#This Row],[PSA]]/[1]!Tabela1[[#This Row],[MRI vol]]</f>
        <v>0.5482758620689655</v>
      </c>
      <c r="F264" s="12"/>
      <c r="G264" s="12"/>
      <c r="H264" s="12">
        <v>29</v>
      </c>
      <c r="I264" s="12">
        <v>5</v>
      </c>
      <c r="J264" s="12"/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15</v>
      </c>
      <c r="R264" s="15">
        <v>1</v>
      </c>
      <c r="S264" s="12"/>
      <c r="T264" s="12"/>
      <c r="U264" s="15">
        <v>1</v>
      </c>
      <c r="V264" s="12"/>
      <c r="W264" s="12"/>
      <c r="X264" s="12">
        <v>2</v>
      </c>
      <c r="Y264" s="12">
        <v>2</v>
      </c>
      <c r="Z264" s="12">
        <v>2</v>
      </c>
      <c r="AA264" s="12">
        <v>0</v>
      </c>
      <c r="AB264" s="12">
        <v>0</v>
      </c>
      <c r="AC264" s="12">
        <v>1</v>
      </c>
      <c r="AD264" s="12">
        <v>1</v>
      </c>
      <c r="AE264" s="12">
        <v>0</v>
      </c>
      <c r="AF264" s="12">
        <v>0</v>
      </c>
      <c r="AG264" s="12">
        <v>0</v>
      </c>
      <c r="AH264" s="12">
        <v>0</v>
      </c>
      <c r="AI264" s="12" t="s">
        <v>53</v>
      </c>
      <c r="AJ264" s="12"/>
      <c r="AK264" s="16"/>
    </row>
    <row r="265" spans="1:37" x14ac:dyDescent="0.25">
      <c r="A265" s="17" t="s">
        <v>358</v>
      </c>
      <c r="B265" s="17">
        <v>67</v>
      </c>
      <c r="C265" s="17">
        <v>6.1</v>
      </c>
      <c r="D265" s="28">
        <v>42461</v>
      </c>
      <c r="E265" s="19">
        <f>[1]!Tabela1[[#This Row],[PSA]]/[1]!Tabela1[[#This Row],[MRI vol]]</f>
        <v>0.29047619047619044</v>
      </c>
      <c r="F265" s="17"/>
      <c r="G265" s="17"/>
      <c r="H265" s="17">
        <v>21</v>
      </c>
      <c r="I265" s="17">
        <v>4</v>
      </c>
      <c r="J265" s="17"/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5</v>
      </c>
      <c r="R265" s="20">
        <v>0</v>
      </c>
      <c r="S265" s="17"/>
      <c r="T265" s="17"/>
      <c r="U265" s="20">
        <v>1</v>
      </c>
      <c r="V265" s="17"/>
      <c r="W265" s="17"/>
      <c r="X265" s="17">
        <v>1</v>
      </c>
      <c r="Y265" s="17">
        <v>0</v>
      </c>
      <c r="Z265" s="17">
        <v>1</v>
      </c>
      <c r="AA265" s="17">
        <v>0</v>
      </c>
      <c r="AB265" s="17">
        <v>0</v>
      </c>
      <c r="AC265" s="17">
        <v>0</v>
      </c>
      <c r="AD265" s="17">
        <v>0</v>
      </c>
      <c r="AE265" s="17">
        <v>0</v>
      </c>
      <c r="AF265" s="17">
        <v>0</v>
      </c>
      <c r="AG265" s="17">
        <v>0</v>
      </c>
      <c r="AH265" s="17">
        <v>0</v>
      </c>
      <c r="AI265" s="17" t="s">
        <v>182</v>
      </c>
      <c r="AJ265" s="17"/>
      <c r="AK265" s="21"/>
    </row>
    <row r="266" spans="1:37" x14ac:dyDescent="0.25">
      <c r="A266" s="12" t="s">
        <v>359</v>
      </c>
      <c r="B266" s="12">
        <v>71</v>
      </c>
      <c r="C266" s="12">
        <v>11.7</v>
      </c>
      <c r="D266" s="27">
        <v>43334</v>
      </c>
      <c r="E266" s="14">
        <f>[1]!Tabela1[[#This Row],[PSA]]/[1]!Tabela1[[#This Row],[MRI vol]]</f>
        <v>0.27209302325581392</v>
      </c>
      <c r="F266" s="12"/>
      <c r="G266" s="12"/>
      <c r="H266" s="12">
        <v>43</v>
      </c>
      <c r="I266" s="12">
        <v>4</v>
      </c>
      <c r="J266" s="12"/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14</v>
      </c>
      <c r="R266" s="15">
        <v>0</v>
      </c>
      <c r="S266" s="12"/>
      <c r="T266" s="12"/>
      <c r="U266" s="15">
        <v>2</v>
      </c>
      <c r="V266" s="12"/>
      <c r="W266" s="12"/>
      <c r="X266" s="12">
        <v>4</v>
      </c>
      <c r="Y266" s="12">
        <v>0</v>
      </c>
      <c r="Z266" s="12">
        <v>4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 t="s">
        <v>182</v>
      </c>
      <c r="AJ266" s="12"/>
      <c r="AK266" s="16"/>
    </row>
    <row r="267" spans="1:37" x14ac:dyDescent="0.25">
      <c r="A267" s="17" t="s">
        <v>360</v>
      </c>
      <c r="B267" s="17">
        <v>59</v>
      </c>
      <c r="C267" s="17">
        <v>13.9</v>
      </c>
      <c r="D267" s="28">
        <v>43481</v>
      </c>
      <c r="E267" s="19">
        <f>[1]!Tabela1[[#This Row],[PSA]]/[1]!Tabela1[[#This Row],[MRI vol]]</f>
        <v>0.69500000000000006</v>
      </c>
      <c r="F267" s="17"/>
      <c r="G267" s="17"/>
      <c r="H267" s="17">
        <v>20</v>
      </c>
      <c r="I267" s="17">
        <v>5</v>
      </c>
      <c r="J267" s="17"/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14</v>
      </c>
      <c r="R267" s="20">
        <v>0</v>
      </c>
      <c r="S267" s="17"/>
      <c r="T267" s="17"/>
      <c r="U267" s="20">
        <v>3</v>
      </c>
      <c r="V267" s="17"/>
      <c r="W267" s="17"/>
      <c r="X267" s="17">
        <v>2</v>
      </c>
      <c r="Y267" s="17">
        <v>2</v>
      </c>
      <c r="Z267" s="17">
        <v>2</v>
      </c>
      <c r="AA267" s="17">
        <v>0</v>
      </c>
      <c r="AB267" s="17">
        <v>0</v>
      </c>
      <c r="AC267" s="17">
        <v>1</v>
      </c>
      <c r="AD267" s="17">
        <v>1</v>
      </c>
      <c r="AE267" s="17">
        <v>1</v>
      </c>
      <c r="AF267" s="17">
        <v>1</v>
      </c>
      <c r="AG267" s="17">
        <v>1</v>
      </c>
      <c r="AH267" s="17">
        <v>1</v>
      </c>
      <c r="AI267" s="17" t="s">
        <v>72</v>
      </c>
      <c r="AJ267" s="17"/>
      <c r="AK267" s="21"/>
    </row>
    <row r="268" spans="1:37" x14ac:dyDescent="0.25">
      <c r="A268" s="12" t="s">
        <v>361</v>
      </c>
      <c r="B268" s="12">
        <v>65</v>
      </c>
      <c r="C268" s="12">
        <v>11.4</v>
      </c>
      <c r="D268" s="27">
        <v>43293</v>
      </c>
      <c r="E268" s="14">
        <f>[1]!Tabela1[[#This Row],[PSA]]/[1]!Tabela1[[#This Row],[MRI vol]]</f>
        <v>0.2780487804878049</v>
      </c>
      <c r="F268" s="12"/>
      <c r="G268" s="12"/>
      <c r="H268" s="12">
        <v>41</v>
      </c>
      <c r="I268" s="12">
        <v>5</v>
      </c>
      <c r="J268" s="12"/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40</v>
      </c>
      <c r="R268" s="15">
        <v>4</v>
      </c>
      <c r="S268" s="12"/>
      <c r="T268" s="12"/>
      <c r="U268" s="15">
        <v>4</v>
      </c>
      <c r="V268" s="12"/>
      <c r="W268" s="12"/>
      <c r="X268" s="12">
        <v>4</v>
      </c>
      <c r="Y268" s="12">
        <v>4</v>
      </c>
      <c r="Z268" s="12">
        <v>4</v>
      </c>
      <c r="AA268" s="12">
        <v>0</v>
      </c>
      <c r="AB268" s="12">
        <v>0</v>
      </c>
      <c r="AC268" s="12">
        <v>1</v>
      </c>
      <c r="AD268" s="12">
        <v>1</v>
      </c>
      <c r="AE268" s="12">
        <v>1</v>
      </c>
      <c r="AF268" s="12">
        <v>0</v>
      </c>
      <c r="AG268" s="12">
        <v>0</v>
      </c>
      <c r="AH268" s="12">
        <v>0</v>
      </c>
      <c r="AI268" s="12" t="s">
        <v>47</v>
      </c>
      <c r="AJ268" s="12"/>
      <c r="AK268" s="16"/>
    </row>
    <row r="269" spans="1:37" x14ac:dyDescent="0.25">
      <c r="A269" s="17" t="s">
        <v>362</v>
      </c>
      <c r="B269" s="17">
        <v>68</v>
      </c>
      <c r="C269" s="17">
        <v>5.3</v>
      </c>
      <c r="D269" s="28">
        <v>43179</v>
      </c>
      <c r="E269" s="19">
        <f>[1]!Tabela1[[#This Row],[PSA]]/[1]!Tabela1[[#This Row],[MRI vol]]</f>
        <v>0.13250000000000001</v>
      </c>
      <c r="F269" s="17"/>
      <c r="G269" s="17"/>
      <c r="H269" s="17">
        <v>40</v>
      </c>
      <c r="I269" s="17">
        <v>4</v>
      </c>
      <c r="J269" s="17"/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13</v>
      </c>
      <c r="R269" s="20">
        <v>0</v>
      </c>
      <c r="S269" s="17"/>
      <c r="T269" s="17"/>
      <c r="U269" s="20">
        <v>1</v>
      </c>
      <c r="V269" s="17"/>
      <c r="W269" s="17"/>
      <c r="X269" s="17">
        <v>1</v>
      </c>
      <c r="Y269" s="17">
        <v>1</v>
      </c>
      <c r="Z269" s="17">
        <v>1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 t="s">
        <v>53</v>
      </c>
      <c r="AJ269" s="17"/>
      <c r="AK269" s="21"/>
    </row>
    <row r="270" spans="1:37" x14ac:dyDescent="0.25">
      <c r="A270" s="12" t="s">
        <v>363</v>
      </c>
      <c r="B270" s="12">
        <v>52</v>
      </c>
      <c r="C270" s="12">
        <v>8</v>
      </c>
      <c r="D270" s="27">
        <v>43025</v>
      </c>
      <c r="E270" s="14">
        <f>[1]!Tabela1[[#This Row],[PSA]]/[1]!Tabela1[[#This Row],[MRI vol]]</f>
        <v>0.24242424242424243</v>
      </c>
      <c r="F270" s="12"/>
      <c r="G270" s="12"/>
      <c r="H270" s="12">
        <v>33</v>
      </c>
      <c r="I270" s="12">
        <v>2</v>
      </c>
      <c r="J270" s="12"/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2"/>
      <c r="R270" s="15">
        <v>0</v>
      </c>
      <c r="S270" s="12"/>
      <c r="T270" s="12"/>
      <c r="U270" s="15">
        <v>1</v>
      </c>
      <c r="V270" s="12"/>
      <c r="W270" s="12"/>
      <c r="X270" s="12">
        <v>1</v>
      </c>
      <c r="Y270" s="12">
        <v>1</v>
      </c>
      <c r="Z270" s="12">
        <v>1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 t="s">
        <v>53</v>
      </c>
      <c r="AJ270" s="12"/>
      <c r="AK270" s="16"/>
    </row>
    <row r="271" spans="1:37" x14ac:dyDescent="0.25">
      <c r="A271" s="17" t="s">
        <v>364</v>
      </c>
      <c r="B271" s="17">
        <v>61</v>
      </c>
      <c r="C271" s="17">
        <v>3.9</v>
      </c>
      <c r="D271" s="28">
        <v>42473</v>
      </c>
      <c r="E271" s="19">
        <f>[1]!Tabela1[[#This Row],[PSA]]/[1]!Tabela1[[#This Row],[MRI vol]]</f>
        <v>7.3584905660377356E-2</v>
      </c>
      <c r="F271" s="17"/>
      <c r="G271" s="17"/>
      <c r="H271" s="17">
        <v>53</v>
      </c>
      <c r="I271" s="17">
        <v>4</v>
      </c>
      <c r="J271" s="17"/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9</v>
      </c>
      <c r="R271" s="20">
        <v>0</v>
      </c>
      <c r="S271" s="17"/>
      <c r="T271" s="17"/>
      <c r="U271" s="20">
        <v>0</v>
      </c>
      <c r="V271" s="17"/>
      <c r="W271" s="17"/>
      <c r="X271" s="17">
        <v>1</v>
      </c>
      <c r="Y271" s="17">
        <v>1</v>
      </c>
      <c r="Z271" s="17">
        <v>1</v>
      </c>
      <c r="AA271" s="17">
        <v>1</v>
      </c>
      <c r="AB271" s="17">
        <v>0</v>
      </c>
      <c r="AC271" s="17">
        <v>1</v>
      </c>
      <c r="AD271" s="17">
        <v>1</v>
      </c>
      <c r="AE271" s="17">
        <v>1</v>
      </c>
      <c r="AF271" s="17">
        <v>0</v>
      </c>
      <c r="AG271" s="17">
        <v>0</v>
      </c>
      <c r="AH271" s="17">
        <v>0</v>
      </c>
      <c r="AI271" s="17" t="s">
        <v>47</v>
      </c>
      <c r="AJ271" s="17"/>
      <c r="AK271" s="21"/>
    </row>
    <row r="272" spans="1:37" x14ac:dyDescent="0.25">
      <c r="A272" s="12" t="s">
        <v>365</v>
      </c>
      <c r="B272" s="12">
        <v>63</v>
      </c>
      <c r="C272" s="12">
        <v>4.9000000000000004</v>
      </c>
      <c r="D272" s="27">
        <v>42671</v>
      </c>
      <c r="E272" s="14">
        <f>[1]!Tabela1[[#This Row],[PSA]]/[1]!Tabela1[[#This Row],[MRI vol]]</f>
        <v>0.14000000000000001</v>
      </c>
      <c r="F272" s="12"/>
      <c r="G272" s="12"/>
      <c r="H272" s="12">
        <v>35</v>
      </c>
      <c r="I272" s="12">
        <v>5</v>
      </c>
      <c r="J272" s="12"/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11</v>
      </c>
      <c r="R272" s="15">
        <v>0</v>
      </c>
      <c r="S272" s="12"/>
      <c r="T272" s="12"/>
      <c r="U272" s="15">
        <v>1</v>
      </c>
      <c r="V272" s="12"/>
      <c r="W272" s="12"/>
      <c r="X272" s="12">
        <v>2</v>
      </c>
      <c r="Y272" s="12">
        <v>2</v>
      </c>
      <c r="Z272" s="12">
        <v>2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 t="s">
        <v>53</v>
      </c>
      <c r="AJ272" s="12"/>
      <c r="AK272" s="16"/>
    </row>
    <row r="273" spans="1:37" x14ac:dyDescent="0.25">
      <c r="A273" s="17" t="s">
        <v>366</v>
      </c>
      <c r="B273" s="17">
        <v>71</v>
      </c>
      <c r="C273" s="17">
        <v>16.5</v>
      </c>
      <c r="D273" s="28">
        <v>43039</v>
      </c>
      <c r="E273" s="19">
        <f>[1]!Tabela1[[#This Row],[PSA]]/[1]!Tabela1[[#This Row],[MRI vol]]</f>
        <v>0.13524590163934427</v>
      </c>
      <c r="F273" s="17"/>
      <c r="G273" s="17"/>
      <c r="H273" s="17">
        <v>122</v>
      </c>
      <c r="I273" s="17">
        <v>5</v>
      </c>
      <c r="J273" s="17"/>
      <c r="K273" s="20">
        <v>1</v>
      </c>
      <c r="L273" s="20">
        <v>1</v>
      </c>
      <c r="M273" s="20">
        <v>0</v>
      </c>
      <c r="N273" s="20">
        <v>0</v>
      </c>
      <c r="O273" s="20">
        <v>0</v>
      </c>
      <c r="P273" s="20">
        <v>0</v>
      </c>
      <c r="Q273" s="20">
        <v>18</v>
      </c>
      <c r="R273" s="20">
        <v>1</v>
      </c>
      <c r="S273" s="17"/>
      <c r="T273" s="17"/>
      <c r="U273" s="20">
        <v>0</v>
      </c>
      <c r="V273" s="17"/>
      <c r="W273" s="17"/>
      <c r="X273" s="17">
        <v>5</v>
      </c>
      <c r="Y273" s="17">
        <v>4</v>
      </c>
      <c r="Z273" s="17">
        <v>5</v>
      </c>
      <c r="AA273" s="17">
        <v>1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 t="s">
        <v>53</v>
      </c>
      <c r="AJ273" s="17"/>
      <c r="AK273" s="21"/>
    </row>
    <row r="274" spans="1:37" x14ac:dyDescent="0.25">
      <c r="A274" s="12" t="s">
        <v>367</v>
      </c>
      <c r="B274" s="12">
        <v>60</v>
      </c>
      <c r="C274" s="12">
        <v>7</v>
      </c>
      <c r="D274" s="27">
        <v>42800</v>
      </c>
      <c r="E274" s="14">
        <f>[1]!Tabela1[[#This Row],[PSA]]/[1]!Tabela1[[#This Row],[MRI vol]]</f>
        <v>0.22580645161290322</v>
      </c>
      <c r="F274" s="12"/>
      <c r="G274" s="12"/>
      <c r="H274" s="12">
        <v>31</v>
      </c>
      <c r="I274" s="12">
        <v>5</v>
      </c>
      <c r="J274" s="12"/>
      <c r="K274" s="15">
        <v>1</v>
      </c>
      <c r="L274" s="15">
        <v>0</v>
      </c>
      <c r="M274" s="15">
        <v>1</v>
      </c>
      <c r="N274" s="15">
        <v>0</v>
      </c>
      <c r="O274" s="15">
        <v>0</v>
      </c>
      <c r="P274" s="15">
        <v>0</v>
      </c>
      <c r="Q274" s="15">
        <v>23</v>
      </c>
      <c r="R274" s="15">
        <v>2</v>
      </c>
      <c r="S274" s="12"/>
      <c r="T274" s="12"/>
      <c r="U274" s="15">
        <v>0</v>
      </c>
      <c r="V274" s="12"/>
      <c r="W274" s="12"/>
      <c r="X274" s="12">
        <v>1</v>
      </c>
      <c r="Y274" s="12">
        <v>1</v>
      </c>
      <c r="Z274" s="12">
        <v>1</v>
      </c>
      <c r="AA274" s="12">
        <v>0</v>
      </c>
      <c r="AB274" s="12">
        <v>0</v>
      </c>
      <c r="AC274" s="12">
        <v>1</v>
      </c>
      <c r="AD274" s="12">
        <v>0</v>
      </c>
      <c r="AE274" s="12">
        <v>1</v>
      </c>
      <c r="AF274" s="12">
        <v>0</v>
      </c>
      <c r="AG274" s="12">
        <v>0</v>
      </c>
      <c r="AH274" s="12">
        <v>0</v>
      </c>
      <c r="AI274" s="12" t="s">
        <v>47</v>
      </c>
      <c r="AJ274" s="12"/>
      <c r="AK274" s="16"/>
    </row>
    <row r="275" spans="1:37" x14ac:dyDescent="0.25">
      <c r="A275" s="17" t="s">
        <v>368</v>
      </c>
      <c r="B275" s="17">
        <v>72</v>
      </c>
      <c r="C275" s="17">
        <v>9.8000000000000007</v>
      </c>
      <c r="D275" s="28">
        <v>43160</v>
      </c>
      <c r="E275" s="19">
        <f>[1]!Tabela1[[#This Row],[PSA]]/[1]!Tabela1[[#This Row],[MRI vol]]</f>
        <v>6.3636363636363644E-2</v>
      </c>
      <c r="F275" s="17"/>
      <c r="G275" s="17"/>
      <c r="H275" s="17">
        <v>154</v>
      </c>
      <c r="I275" s="17">
        <v>5</v>
      </c>
      <c r="J275" s="17"/>
      <c r="K275" s="20">
        <v>1</v>
      </c>
      <c r="L275" s="20">
        <v>0</v>
      </c>
      <c r="M275" s="20">
        <v>1</v>
      </c>
      <c r="N275" s="20">
        <v>1</v>
      </c>
      <c r="O275" s="20">
        <v>0</v>
      </c>
      <c r="P275" s="20">
        <v>1</v>
      </c>
      <c r="Q275" s="20">
        <v>33</v>
      </c>
      <c r="R275" s="20">
        <v>0</v>
      </c>
      <c r="S275" s="17"/>
      <c r="T275" s="17"/>
      <c r="U275" s="20">
        <v>1</v>
      </c>
      <c r="V275" s="17"/>
      <c r="W275" s="17"/>
      <c r="X275" s="17">
        <v>4</v>
      </c>
      <c r="Y275" s="17">
        <v>3</v>
      </c>
      <c r="Z275" s="17">
        <v>4</v>
      </c>
      <c r="AA275" s="17">
        <v>0</v>
      </c>
      <c r="AB275" s="17">
        <v>0</v>
      </c>
      <c r="AC275" s="17">
        <v>1</v>
      </c>
      <c r="AD275" s="17">
        <v>1</v>
      </c>
      <c r="AE275" s="17">
        <v>0</v>
      </c>
      <c r="AF275" s="17">
        <v>0</v>
      </c>
      <c r="AG275" s="17">
        <v>0</v>
      </c>
      <c r="AH275" s="17">
        <v>0</v>
      </c>
      <c r="AI275" s="17" t="s">
        <v>47</v>
      </c>
      <c r="AJ275" s="17"/>
      <c r="AK275" s="21"/>
    </row>
    <row r="276" spans="1:37" x14ac:dyDescent="0.25">
      <c r="A276" s="12" t="s">
        <v>369</v>
      </c>
      <c r="B276" s="12">
        <v>83</v>
      </c>
      <c r="C276" s="12">
        <v>34.4</v>
      </c>
      <c r="D276" s="27">
        <v>42671</v>
      </c>
      <c r="E276" s="14">
        <f>[1]!Tabela1[[#This Row],[PSA]]/[1]!Tabela1[[#This Row],[MRI vol]]</f>
        <v>1.323076923076923</v>
      </c>
      <c r="F276" s="12"/>
      <c r="G276" s="12"/>
      <c r="H276" s="12">
        <v>26</v>
      </c>
      <c r="I276" s="12">
        <v>3</v>
      </c>
      <c r="J276" s="12"/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18</v>
      </c>
      <c r="R276" s="15">
        <v>5</v>
      </c>
      <c r="S276" s="12"/>
      <c r="T276" s="12"/>
      <c r="U276" s="15">
        <v>5</v>
      </c>
      <c r="V276" s="12"/>
      <c r="W276" s="12"/>
      <c r="X276" s="12">
        <v>5</v>
      </c>
      <c r="Y276" s="12">
        <v>5</v>
      </c>
      <c r="Z276" s="12">
        <v>5</v>
      </c>
      <c r="AA276" s="12">
        <v>0</v>
      </c>
      <c r="AB276" s="12">
        <v>0</v>
      </c>
      <c r="AC276" s="12">
        <v>1</v>
      </c>
      <c r="AD276" s="12">
        <v>1</v>
      </c>
      <c r="AE276" s="12">
        <v>1</v>
      </c>
      <c r="AF276" s="12">
        <v>0</v>
      </c>
      <c r="AG276" s="12">
        <v>0</v>
      </c>
      <c r="AH276" s="12">
        <v>0</v>
      </c>
      <c r="AI276" s="12" t="s">
        <v>47</v>
      </c>
      <c r="AJ276" s="12"/>
      <c r="AK276" s="16"/>
    </row>
    <row r="277" spans="1:37" x14ac:dyDescent="0.25">
      <c r="A277" s="17" t="s">
        <v>370</v>
      </c>
      <c r="B277" s="17">
        <v>59</v>
      </c>
      <c r="C277" s="17">
        <v>4.5999999999999996</v>
      </c>
      <c r="D277" s="28">
        <v>42549</v>
      </c>
      <c r="E277" s="19">
        <f>[1]!Tabela1[[#This Row],[PSA]]/[1]!Tabela1[[#This Row],[MRI vol]]</f>
        <v>0.14838709677419354</v>
      </c>
      <c r="F277" s="17"/>
      <c r="G277" s="17"/>
      <c r="H277" s="17">
        <v>31</v>
      </c>
      <c r="I277" s="17">
        <v>4</v>
      </c>
      <c r="J277" s="17"/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12</v>
      </c>
      <c r="R277" s="17"/>
      <c r="S277" s="17"/>
      <c r="T277" s="17"/>
      <c r="U277" s="17"/>
      <c r="V277" s="17"/>
      <c r="W277" s="17"/>
      <c r="X277" s="17">
        <v>2</v>
      </c>
      <c r="Y277" s="17">
        <v>2</v>
      </c>
      <c r="Z277" s="17">
        <v>2</v>
      </c>
      <c r="AA277" s="17">
        <v>0</v>
      </c>
      <c r="AB277" s="17">
        <v>0</v>
      </c>
      <c r="AC277" s="17">
        <v>0</v>
      </c>
      <c r="AD277" s="17">
        <v>0</v>
      </c>
      <c r="AE277" s="17">
        <v>0</v>
      </c>
      <c r="AF277" s="17">
        <v>0</v>
      </c>
      <c r="AG277" s="17">
        <v>0</v>
      </c>
      <c r="AH277" s="17">
        <v>0</v>
      </c>
      <c r="AI277" s="17" t="s">
        <v>53</v>
      </c>
      <c r="AJ277" s="17"/>
      <c r="AK277" s="21"/>
    </row>
    <row r="278" spans="1:37" x14ac:dyDescent="0.25">
      <c r="A278" s="12" t="s">
        <v>371</v>
      </c>
      <c r="B278" s="12">
        <v>67</v>
      </c>
      <c r="C278" s="12">
        <v>19.3</v>
      </c>
      <c r="D278" s="27">
        <v>43311</v>
      </c>
      <c r="E278" s="14">
        <f>[1]!Tabela1[[#This Row],[PSA]]/[1]!Tabela1[[#This Row],[MRI vol]]</f>
        <v>0.4707317073170732</v>
      </c>
      <c r="F278" s="12"/>
      <c r="G278" s="12"/>
      <c r="H278" s="12">
        <v>41</v>
      </c>
      <c r="I278" s="12">
        <v>5</v>
      </c>
      <c r="J278" s="12"/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18</v>
      </c>
      <c r="R278" s="15">
        <v>2</v>
      </c>
      <c r="S278" s="12"/>
      <c r="T278" s="12"/>
      <c r="U278" s="15">
        <v>0</v>
      </c>
      <c r="V278" s="12"/>
      <c r="W278" s="12"/>
      <c r="X278" s="12">
        <v>4</v>
      </c>
      <c r="Y278" s="12">
        <v>4</v>
      </c>
      <c r="Z278" s="12">
        <v>4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 t="s">
        <v>53</v>
      </c>
      <c r="AJ278" s="12"/>
      <c r="AK278" s="16"/>
    </row>
    <row r="279" spans="1:37" x14ac:dyDescent="0.25">
      <c r="A279" s="17" t="s">
        <v>372</v>
      </c>
      <c r="B279" s="17">
        <v>69</v>
      </c>
      <c r="C279" s="17">
        <v>5.5</v>
      </c>
      <c r="D279" s="28">
        <v>42437</v>
      </c>
      <c r="E279" s="19">
        <f>[1]!Tabela1[[#This Row],[PSA]]/[1]!Tabela1[[#This Row],[MRI vol]]</f>
        <v>0.14473684210526316</v>
      </c>
      <c r="F279" s="17"/>
      <c r="G279" s="17"/>
      <c r="H279" s="17">
        <v>38</v>
      </c>
      <c r="I279" s="17">
        <v>4</v>
      </c>
      <c r="J279" s="17"/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9</v>
      </c>
      <c r="R279" s="20">
        <v>0</v>
      </c>
      <c r="S279" s="17"/>
      <c r="T279" s="17"/>
      <c r="U279" s="20">
        <v>1</v>
      </c>
      <c r="V279" s="17"/>
      <c r="W279" s="17"/>
      <c r="X279" s="17">
        <v>1</v>
      </c>
      <c r="Y279" s="17">
        <v>1</v>
      </c>
      <c r="Z279" s="17">
        <v>1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 t="s">
        <v>53</v>
      </c>
      <c r="AJ279" s="17"/>
      <c r="AK279" s="21"/>
    </row>
    <row r="280" spans="1:37" x14ac:dyDescent="0.25">
      <c r="A280" s="12" t="s">
        <v>373</v>
      </c>
      <c r="B280" s="12">
        <v>69</v>
      </c>
      <c r="C280" s="12">
        <v>14</v>
      </c>
      <c r="D280" s="27">
        <v>42976</v>
      </c>
      <c r="E280" s="14">
        <f>[1]!Tabela1[[#This Row],[PSA]]/[1]!Tabela1[[#This Row],[MRI vol]]</f>
        <v>0.93333333333333335</v>
      </c>
      <c r="F280" s="12"/>
      <c r="G280" s="12"/>
      <c r="H280" s="12">
        <v>15</v>
      </c>
      <c r="I280" s="12">
        <v>4</v>
      </c>
      <c r="J280" s="12"/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21</v>
      </c>
      <c r="R280" s="15">
        <v>1</v>
      </c>
      <c r="S280" s="12"/>
      <c r="T280" s="12"/>
      <c r="U280" s="15">
        <v>2</v>
      </c>
      <c r="V280" s="12"/>
      <c r="W280" s="12"/>
      <c r="X280" s="12">
        <v>2</v>
      </c>
      <c r="Y280" s="12">
        <v>2</v>
      </c>
      <c r="Z280" s="12">
        <v>2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 t="s">
        <v>53</v>
      </c>
      <c r="AJ280" s="12"/>
      <c r="AK280" s="16"/>
    </row>
    <row r="281" spans="1:37" x14ac:dyDescent="0.25">
      <c r="A281" s="17" t="s">
        <v>374</v>
      </c>
      <c r="B281" s="17">
        <v>63</v>
      </c>
      <c r="C281" s="17">
        <v>3.8</v>
      </c>
      <c r="D281" s="28">
        <v>43423</v>
      </c>
      <c r="E281" s="19">
        <f>[1]!Tabela1[[#This Row],[PSA]]/[1]!Tabela1[[#This Row],[MRI vol]]</f>
        <v>0.11874999999999999</v>
      </c>
      <c r="F281" s="17"/>
      <c r="G281" s="17"/>
      <c r="H281" s="17">
        <v>32</v>
      </c>
      <c r="I281" s="17">
        <v>4</v>
      </c>
      <c r="J281" s="17"/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14.5</v>
      </c>
      <c r="R281" s="20">
        <v>0</v>
      </c>
      <c r="S281" s="17"/>
      <c r="T281" s="17"/>
      <c r="U281" s="20">
        <v>1</v>
      </c>
      <c r="V281" s="17"/>
      <c r="W281" s="17"/>
      <c r="X281" s="17">
        <v>3</v>
      </c>
      <c r="Y281" s="17">
        <v>0</v>
      </c>
      <c r="Z281" s="17">
        <v>3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 t="s">
        <v>130</v>
      </c>
      <c r="AJ281" s="17"/>
      <c r="AK281" s="21"/>
    </row>
    <row r="282" spans="1:37" x14ac:dyDescent="0.25">
      <c r="A282" s="12" t="s">
        <v>54</v>
      </c>
      <c r="B282" s="12">
        <v>70</v>
      </c>
      <c r="C282" s="12">
        <v>4.4000000000000004</v>
      </c>
      <c r="D282" s="27">
        <v>43116</v>
      </c>
      <c r="E282" s="14">
        <f>[1]!Tabela1[[#This Row],[PSA]]/[1]!Tabela1[[#This Row],[MRI vol]]</f>
        <v>7.4576271186440682E-2</v>
      </c>
      <c r="F282" s="12"/>
      <c r="G282" s="12"/>
      <c r="H282" s="12">
        <v>59</v>
      </c>
      <c r="I282" s="12">
        <v>5</v>
      </c>
      <c r="J282" s="12"/>
      <c r="K282" s="15">
        <v>1</v>
      </c>
      <c r="L282" s="15">
        <v>1</v>
      </c>
      <c r="M282" s="15">
        <v>1</v>
      </c>
      <c r="N282" s="15">
        <v>1</v>
      </c>
      <c r="O282" s="15">
        <v>1</v>
      </c>
      <c r="P282" s="15">
        <v>1</v>
      </c>
      <c r="Q282" s="15">
        <v>31</v>
      </c>
      <c r="R282" s="15">
        <v>4</v>
      </c>
      <c r="S282" s="12"/>
      <c r="T282" s="12"/>
      <c r="U282" s="15">
        <v>3</v>
      </c>
      <c r="V282" s="12"/>
      <c r="W282" s="12"/>
      <c r="X282" s="12">
        <v>4</v>
      </c>
      <c r="Y282" s="12">
        <v>4</v>
      </c>
      <c r="Z282" s="12">
        <v>4</v>
      </c>
      <c r="AA282" s="12">
        <v>0</v>
      </c>
      <c r="AB282" s="12">
        <v>1</v>
      </c>
      <c r="AC282" s="12">
        <v>1</v>
      </c>
      <c r="AD282" s="12">
        <v>1</v>
      </c>
      <c r="AE282" s="12">
        <v>1</v>
      </c>
      <c r="AF282" s="12">
        <v>0</v>
      </c>
      <c r="AG282" s="12">
        <v>0</v>
      </c>
      <c r="AH282" s="12">
        <v>0</v>
      </c>
      <c r="AI282" s="12" t="s">
        <v>375</v>
      </c>
      <c r="AJ282" s="12"/>
      <c r="AK282" s="16"/>
    </row>
    <row r="283" spans="1:37" x14ac:dyDescent="0.25">
      <c r="A283" s="17" t="s">
        <v>376</v>
      </c>
      <c r="B283" s="17">
        <v>64</v>
      </c>
      <c r="C283" s="17">
        <v>5</v>
      </c>
      <c r="D283" s="28">
        <v>42810</v>
      </c>
      <c r="E283" s="19">
        <f>[1]!Tabela1[[#This Row],[PSA]]/[1]!Tabela1[[#This Row],[MRI vol]]</f>
        <v>0.19230769230769232</v>
      </c>
      <c r="F283" s="17"/>
      <c r="G283" s="17"/>
      <c r="H283" s="17">
        <v>26</v>
      </c>
      <c r="I283" s="17">
        <v>4</v>
      </c>
      <c r="J283" s="17"/>
      <c r="K283" s="20">
        <v>0</v>
      </c>
      <c r="L283" s="20">
        <v>0</v>
      </c>
      <c r="M283" s="20">
        <v>0</v>
      </c>
      <c r="N283" s="20">
        <v>1</v>
      </c>
      <c r="O283" s="20">
        <v>0</v>
      </c>
      <c r="P283" s="20">
        <v>1</v>
      </c>
      <c r="Q283" s="20">
        <v>14</v>
      </c>
      <c r="R283" s="20">
        <v>1</v>
      </c>
      <c r="S283" s="17"/>
      <c r="T283" s="17"/>
      <c r="U283" s="20">
        <v>0</v>
      </c>
      <c r="V283" s="17"/>
      <c r="W283" s="17"/>
      <c r="X283" s="17">
        <v>1</v>
      </c>
      <c r="Y283" s="17">
        <v>1</v>
      </c>
      <c r="Z283" s="17">
        <v>1</v>
      </c>
      <c r="AA283" s="17">
        <v>0</v>
      </c>
      <c r="AB283" s="17">
        <v>0</v>
      </c>
      <c r="AC283" s="17">
        <v>0</v>
      </c>
      <c r="AD283" s="17">
        <v>0</v>
      </c>
      <c r="AE283" s="17">
        <v>0</v>
      </c>
      <c r="AF283" s="17">
        <v>0</v>
      </c>
      <c r="AG283" s="17">
        <v>0</v>
      </c>
      <c r="AH283" s="17">
        <v>0</v>
      </c>
      <c r="AI283" s="17" t="s">
        <v>53</v>
      </c>
      <c r="AJ283" s="17"/>
      <c r="AK283" s="21"/>
    </row>
    <row r="284" spans="1:37" x14ac:dyDescent="0.25">
      <c r="A284" s="12" t="s">
        <v>377</v>
      </c>
      <c r="B284" s="12">
        <v>70</v>
      </c>
      <c r="C284" s="12">
        <v>9</v>
      </c>
      <c r="D284" s="27">
        <v>42837</v>
      </c>
      <c r="E284" s="14">
        <f>[1]!Tabela1[[#This Row],[PSA]]/[1]!Tabela1[[#This Row],[MRI vol]]</f>
        <v>0.24324324324324326</v>
      </c>
      <c r="F284" s="12"/>
      <c r="G284" s="12"/>
      <c r="H284" s="12">
        <v>37</v>
      </c>
      <c r="I284" s="12">
        <v>5</v>
      </c>
      <c r="J284" s="12"/>
      <c r="K284" s="15">
        <v>1</v>
      </c>
      <c r="L284" s="15">
        <v>0</v>
      </c>
      <c r="M284" s="15">
        <v>1</v>
      </c>
      <c r="N284" s="15">
        <v>1</v>
      </c>
      <c r="O284" s="15">
        <v>0</v>
      </c>
      <c r="P284" s="15">
        <v>1</v>
      </c>
      <c r="Q284" s="12"/>
      <c r="R284" s="15">
        <v>2</v>
      </c>
      <c r="S284" s="12"/>
      <c r="T284" s="12"/>
      <c r="U284" s="15">
        <v>2</v>
      </c>
      <c r="V284" s="12"/>
      <c r="W284" s="12"/>
      <c r="X284" s="12">
        <v>5</v>
      </c>
      <c r="Y284" s="12">
        <v>5</v>
      </c>
      <c r="Z284" s="12">
        <v>5</v>
      </c>
      <c r="AA284" s="12">
        <v>1</v>
      </c>
      <c r="AB284" s="12">
        <v>1</v>
      </c>
      <c r="AC284" s="12">
        <v>1</v>
      </c>
      <c r="AD284" s="12">
        <v>1</v>
      </c>
      <c r="AE284" s="12">
        <v>1</v>
      </c>
      <c r="AF284" s="12">
        <v>1</v>
      </c>
      <c r="AG284" s="12">
        <v>0</v>
      </c>
      <c r="AH284" s="12">
        <v>1</v>
      </c>
      <c r="AI284" s="12" t="s">
        <v>72</v>
      </c>
      <c r="AJ284" s="12"/>
      <c r="AK284" s="16"/>
    </row>
    <row r="285" spans="1:37" x14ac:dyDescent="0.25">
      <c r="A285" s="17" t="s">
        <v>378</v>
      </c>
      <c r="B285" s="17">
        <v>62</v>
      </c>
      <c r="C285" s="17">
        <v>6.3</v>
      </c>
      <c r="D285" s="28">
        <v>42542</v>
      </c>
      <c r="E285" s="19">
        <f>[1]!Tabela1[[#This Row],[PSA]]/[1]!Tabela1[[#This Row],[MRI vol]]</f>
        <v>0.18</v>
      </c>
      <c r="F285" s="17"/>
      <c r="G285" s="17"/>
      <c r="H285" s="17">
        <v>35</v>
      </c>
      <c r="I285" s="17">
        <v>5</v>
      </c>
      <c r="J285" s="17"/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10</v>
      </c>
      <c r="R285" s="20">
        <v>1</v>
      </c>
      <c r="S285" s="17"/>
      <c r="T285" s="17"/>
      <c r="U285" s="20">
        <v>1</v>
      </c>
      <c r="V285" s="17"/>
      <c r="W285" s="17"/>
      <c r="X285" s="17">
        <v>5</v>
      </c>
      <c r="Y285" s="17">
        <v>5</v>
      </c>
      <c r="Z285" s="17">
        <v>5</v>
      </c>
      <c r="AA285" s="17">
        <v>0</v>
      </c>
      <c r="AB285" s="17">
        <v>0</v>
      </c>
      <c r="AC285" s="17">
        <v>1</v>
      </c>
      <c r="AD285" s="17">
        <v>1</v>
      </c>
      <c r="AE285" s="17">
        <v>0</v>
      </c>
      <c r="AF285" s="17">
        <v>1</v>
      </c>
      <c r="AG285" s="17">
        <v>0</v>
      </c>
      <c r="AH285" s="17">
        <v>1</v>
      </c>
      <c r="AI285" s="17" t="s">
        <v>47</v>
      </c>
      <c r="AJ285" s="17"/>
      <c r="AK285" s="21"/>
    </row>
    <row r="286" spans="1:37" x14ac:dyDescent="0.25">
      <c r="A286" s="12" t="s">
        <v>379</v>
      </c>
      <c r="B286" s="12">
        <v>51</v>
      </c>
      <c r="C286" s="12">
        <v>2.1</v>
      </c>
      <c r="D286" s="27">
        <v>42486</v>
      </c>
      <c r="E286" s="14">
        <f>[1]!Tabela1[[#This Row],[PSA]]/[1]!Tabela1[[#This Row],[MRI vol]]</f>
        <v>6.7741935483870974E-2</v>
      </c>
      <c r="F286" s="12"/>
      <c r="G286" s="12"/>
      <c r="H286" s="12">
        <v>31</v>
      </c>
      <c r="I286" s="12">
        <v>5</v>
      </c>
      <c r="J286" s="12"/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10</v>
      </c>
      <c r="R286" s="15">
        <v>3</v>
      </c>
      <c r="S286" s="12"/>
      <c r="T286" s="12"/>
      <c r="U286" s="15">
        <v>3</v>
      </c>
      <c r="V286" s="12"/>
      <c r="W286" s="12"/>
      <c r="X286" s="12">
        <v>2</v>
      </c>
      <c r="Y286" s="12">
        <v>2</v>
      </c>
      <c r="Z286" s="12">
        <v>2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 t="s">
        <v>53</v>
      </c>
      <c r="AJ286" s="12"/>
      <c r="AK286" s="16"/>
    </row>
    <row r="287" spans="1:37" x14ac:dyDescent="0.25">
      <c r="A287" s="17" t="s">
        <v>380</v>
      </c>
      <c r="B287" s="17">
        <v>43</v>
      </c>
      <c r="C287" s="17">
        <v>6.1</v>
      </c>
      <c r="D287" s="28">
        <v>43411</v>
      </c>
      <c r="E287" s="19">
        <f>[1]!Tabela1[[#This Row],[PSA]]/[1]!Tabela1[[#This Row],[MRI vol]]</f>
        <v>0.27727272727272728</v>
      </c>
      <c r="F287" s="17"/>
      <c r="G287" s="17"/>
      <c r="H287" s="17">
        <v>22</v>
      </c>
      <c r="I287" s="17">
        <v>2</v>
      </c>
      <c r="J287" s="17"/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17"/>
      <c r="R287" s="20">
        <v>1</v>
      </c>
      <c r="S287" s="17"/>
      <c r="T287" s="17"/>
      <c r="U287" s="20">
        <v>3</v>
      </c>
      <c r="V287" s="17"/>
      <c r="W287" s="17"/>
      <c r="X287" s="17">
        <v>3</v>
      </c>
      <c r="Y287" s="17">
        <v>3</v>
      </c>
      <c r="Z287" s="17">
        <v>3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 t="s">
        <v>53</v>
      </c>
      <c r="AJ287" s="17"/>
      <c r="AK287" s="21"/>
    </row>
    <row r="288" spans="1:37" x14ac:dyDescent="0.25">
      <c r="A288" s="12" t="s">
        <v>381</v>
      </c>
      <c r="B288" s="12">
        <v>63</v>
      </c>
      <c r="C288" s="12">
        <v>9.6999999999999993</v>
      </c>
      <c r="D288" s="27">
        <v>44116</v>
      </c>
      <c r="E288" s="14">
        <f>[1]!Tabela1[[#This Row],[PSA]]/[1]!Tabela1[[#This Row],[MRI vol]]</f>
        <v>0.60624999999999996</v>
      </c>
      <c r="F288" s="12"/>
      <c r="G288" s="12"/>
      <c r="H288" s="12">
        <v>16</v>
      </c>
      <c r="I288" s="12">
        <v>4</v>
      </c>
      <c r="J288" s="12"/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14</v>
      </c>
      <c r="R288" s="15">
        <v>0</v>
      </c>
      <c r="S288" s="12"/>
      <c r="T288" s="12"/>
      <c r="U288" s="15">
        <v>2</v>
      </c>
      <c r="V288" s="12"/>
      <c r="W288" s="12"/>
      <c r="X288" s="12">
        <v>3</v>
      </c>
      <c r="Y288" s="12">
        <v>3</v>
      </c>
      <c r="Z288" s="12">
        <v>3</v>
      </c>
      <c r="AA288" s="12">
        <v>0</v>
      </c>
      <c r="AB288" s="12">
        <v>0</v>
      </c>
      <c r="AC288" s="12">
        <v>1</v>
      </c>
      <c r="AD288" s="12">
        <v>1</v>
      </c>
      <c r="AE288" s="12">
        <v>0</v>
      </c>
      <c r="AF288" s="12">
        <v>0</v>
      </c>
      <c r="AG288" s="12">
        <v>0</v>
      </c>
      <c r="AH288" s="12">
        <v>0</v>
      </c>
      <c r="AI288" s="12" t="s">
        <v>47</v>
      </c>
      <c r="AJ288" s="12"/>
      <c r="AK288" s="16"/>
    </row>
    <row r="289" spans="1:37" x14ac:dyDescent="0.25">
      <c r="A289" s="17" t="s">
        <v>382</v>
      </c>
      <c r="B289" s="17">
        <v>73</v>
      </c>
      <c r="C289" s="17">
        <v>5.8</v>
      </c>
      <c r="D289" s="28">
        <v>43840</v>
      </c>
      <c r="E289" s="19">
        <f>[1]!Tabela1[[#This Row],[PSA]]/[1]!Tabela1[[#This Row],[MRI vol]]</f>
        <v>0.1657142857142857</v>
      </c>
      <c r="F289" s="17"/>
      <c r="G289" s="17"/>
      <c r="H289" s="17">
        <v>35</v>
      </c>
      <c r="I289" s="17">
        <v>2</v>
      </c>
      <c r="J289" s="17"/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17"/>
      <c r="R289" s="20">
        <v>1</v>
      </c>
      <c r="S289" s="17"/>
      <c r="T289" s="17"/>
      <c r="U289" s="20">
        <v>2</v>
      </c>
      <c r="V289" s="17"/>
      <c r="W289" s="17"/>
      <c r="X289" s="17">
        <v>2</v>
      </c>
      <c r="Y289" s="17">
        <v>2</v>
      </c>
      <c r="Z289" s="17">
        <v>2</v>
      </c>
      <c r="AA289" s="17">
        <v>1</v>
      </c>
      <c r="AB289" s="17">
        <v>0</v>
      </c>
      <c r="AC289" s="17">
        <v>0</v>
      </c>
      <c r="AD289" s="17">
        <v>0</v>
      </c>
      <c r="AE289" s="17">
        <v>0</v>
      </c>
      <c r="AF289" s="17">
        <v>0</v>
      </c>
      <c r="AG289" s="17">
        <v>0</v>
      </c>
      <c r="AH289" s="17">
        <v>0</v>
      </c>
      <c r="AI289" s="17" t="s">
        <v>53</v>
      </c>
      <c r="AJ289" s="17"/>
      <c r="AK289" s="21"/>
    </row>
    <row r="290" spans="1:37" x14ac:dyDescent="0.25">
      <c r="A290" s="12" t="s">
        <v>383</v>
      </c>
      <c r="B290" s="12">
        <v>61</v>
      </c>
      <c r="C290" s="12">
        <v>20.6</v>
      </c>
      <c r="D290" s="27">
        <v>42354</v>
      </c>
      <c r="E290" s="14">
        <f>[1]!Tabela1[[#This Row],[PSA]]/[1]!Tabela1[[#This Row],[MRI vol]]</f>
        <v>0.52820512820512822</v>
      </c>
      <c r="F290" s="12"/>
      <c r="G290" s="12"/>
      <c r="H290" s="12">
        <v>39</v>
      </c>
      <c r="I290" s="12">
        <v>5</v>
      </c>
      <c r="J290" s="12"/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30</v>
      </c>
      <c r="R290" s="15">
        <v>5</v>
      </c>
      <c r="S290" s="12"/>
      <c r="T290" s="12"/>
      <c r="U290" s="15">
        <v>5</v>
      </c>
      <c r="V290" s="12"/>
      <c r="W290" s="12"/>
      <c r="X290" s="12">
        <v>5</v>
      </c>
      <c r="Y290" s="12">
        <v>5</v>
      </c>
      <c r="Z290" s="12">
        <v>5</v>
      </c>
      <c r="AA290" s="12">
        <v>0</v>
      </c>
      <c r="AB290" s="12">
        <v>0</v>
      </c>
      <c r="AC290" s="12">
        <v>1</v>
      </c>
      <c r="AD290" s="12">
        <v>1</v>
      </c>
      <c r="AE290" s="12">
        <v>0</v>
      </c>
      <c r="AF290" s="12">
        <v>0</v>
      </c>
      <c r="AG290" s="12">
        <v>0</v>
      </c>
      <c r="AH290" s="12">
        <v>0</v>
      </c>
      <c r="AI290" s="12" t="s">
        <v>47</v>
      </c>
      <c r="AJ290" s="12"/>
      <c r="AK290" s="16"/>
    </row>
    <row r="291" spans="1:37" x14ac:dyDescent="0.25">
      <c r="A291" s="17" t="s">
        <v>384</v>
      </c>
      <c r="B291" s="17">
        <v>60</v>
      </c>
      <c r="C291" s="17">
        <v>21.2</v>
      </c>
      <c r="D291" s="28">
        <v>43536</v>
      </c>
      <c r="E291" s="19">
        <f>[1]!Tabela1[[#This Row],[PSA]]/[1]!Tabela1[[#This Row],[MRI vol]]</f>
        <v>0.58888888888888891</v>
      </c>
      <c r="F291" s="17"/>
      <c r="G291" s="17"/>
      <c r="H291" s="17">
        <v>36</v>
      </c>
      <c r="I291" s="17">
        <v>4</v>
      </c>
      <c r="J291" s="17"/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8</v>
      </c>
      <c r="R291" s="20">
        <v>1</v>
      </c>
      <c r="S291" s="17"/>
      <c r="T291" s="17"/>
      <c r="U291" s="20">
        <v>4</v>
      </c>
      <c r="V291" s="17"/>
      <c r="W291" s="17"/>
      <c r="X291" s="17">
        <v>3</v>
      </c>
      <c r="Y291" s="17">
        <v>2</v>
      </c>
      <c r="Z291" s="17">
        <v>3</v>
      </c>
      <c r="AA291" s="17">
        <v>0</v>
      </c>
      <c r="AB291" s="17">
        <v>0</v>
      </c>
      <c r="AC291" s="17">
        <v>0</v>
      </c>
      <c r="AD291" s="17">
        <v>0</v>
      </c>
      <c r="AE291" s="17">
        <v>0</v>
      </c>
      <c r="AF291" s="17">
        <v>0</v>
      </c>
      <c r="AG291" s="17">
        <v>0</v>
      </c>
      <c r="AH291" s="17">
        <v>0</v>
      </c>
      <c r="AI291" s="17" t="s">
        <v>53</v>
      </c>
      <c r="AJ291" s="17"/>
      <c r="AK291" s="21"/>
    </row>
    <row r="292" spans="1:37" x14ac:dyDescent="0.25">
      <c r="A292" s="12" t="s">
        <v>385</v>
      </c>
      <c r="B292" s="12">
        <v>68</v>
      </c>
      <c r="C292" s="12">
        <v>6.2</v>
      </c>
      <c r="D292" s="27">
        <v>43168</v>
      </c>
      <c r="E292" s="14">
        <f>[1]!Tabela1[[#This Row],[PSA]]/[1]!Tabela1[[#This Row],[MRI vol]]</f>
        <v>0.1169811320754717</v>
      </c>
      <c r="F292" s="12"/>
      <c r="G292" s="12"/>
      <c r="H292" s="12">
        <v>53</v>
      </c>
      <c r="I292" s="12">
        <v>4</v>
      </c>
      <c r="J292" s="12"/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12</v>
      </c>
      <c r="R292" s="15">
        <v>1</v>
      </c>
      <c r="S292" s="12"/>
      <c r="T292" s="12"/>
      <c r="U292" s="15">
        <v>1</v>
      </c>
      <c r="V292" s="12"/>
      <c r="W292" s="12"/>
      <c r="X292" s="12">
        <v>2</v>
      </c>
      <c r="Y292" s="12">
        <v>2</v>
      </c>
      <c r="Z292" s="12">
        <v>2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 t="s">
        <v>53</v>
      </c>
      <c r="AJ292" s="12"/>
      <c r="AK292" s="16"/>
    </row>
    <row r="293" spans="1:37" x14ac:dyDescent="0.25">
      <c r="A293" s="17" t="s">
        <v>386</v>
      </c>
      <c r="B293" s="17">
        <v>74</v>
      </c>
      <c r="C293" s="17">
        <v>5.4</v>
      </c>
      <c r="D293" s="28">
        <v>42208</v>
      </c>
      <c r="E293" s="19">
        <f>[1]!Tabela1[[#This Row],[PSA]]/[1]!Tabela1[[#This Row],[MRI vol]]</f>
        <v>0.25714285714285717</v>
      </c>
      <c r="F293" s="17"/>
      <c r="G293" s="17"/>
      <c r="H293" s="17">
        <v>21</v>
      </c>
      <c r="I293" s="17">
        <v>3</v>
      </c>
      <c r="J293" s="17"/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7</v>
      </c>
      <c r="R293" s="20">
        <v>1</v>
      </c>
      <c r="S293" s="17"/>
      <c r="T293" s="17"/>
      <c r="U293" s="20">
        <v>0</v>
      </c>
      <c r="V293" s="17"/>
      <c r="W293" s="17"/>
      <c r="X293" s="17">
        <v>2</v>
      </c>
      <c r="Y293" s="17">
        <v>2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17">
        <v>0</v>
      </c>
      <c r="AG293" s="17">
        <v>0</v>
      </c>
      <c r="AH293" s="17">
        <v>0</v>
      </c>
      <c r="AI293" s="17" t="s">
        <v>182</v>
      </c>
      <c r="AJ293" s="17"/>
      <c r="AK293" s="21"/>
    </row>
    <row r="294" spans="1:37" x14ac:dyDescent="0.25">
      <c r="A294" s="12" t="s">
        <v>387</v>
      </c>
      <c r="B294" s="12">
        <v>55</v>
      </c>
      <c r="C294" s="12">
        <v>4.7</v>
      </c>
      <c r="D294" s="27">
        <v>42437</v>
      </c>
      <c r="E294" s="14">
        <f>[1]!Tabela1[[#This Row],[PSA]]/[1]!Tabela1[[#This Row],[MRI vol]]</f>
        <v>6.6197183098591558E-2</v>
      </c>
      <c r="F294" s="12"/>
      <c r="G294" s="12"/>
      <c r="H294" s="12">
        <v>71</v>
      </c>
      <c r="I294" s="12">
        <v>4</v>
      </c>
      <c r="J294" s="12"/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11</v>
      </c>
      <c r="R294" s="15">
        <v>1</v>
      </c>
      <c r="S294" s="12"/>
      <c r="T294" s="12"/>
      <c r="U294" s="15">
        <v>1</v>
      </c>
      <c r="V294" s="12"/>
      <c r="W294" s="12"/>
      <c r="X294" s="12">
        <v>1</v>
      </c>
      <c r="Y294" s="12">
        <v>1</v>
      </c>
      <c r="Z294" s="12">
        <v>1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 t="s">
        <v>53</v>
      </c>
      <c r="AJ294" s="12"/>
      <c r="AK294" s="16"/>
    </row>
    <row r="295" spans="1:37" x14ac:dyDescent="0.25">
      <c r="A295" s="17" t="s">
        <v>388</v>
      </c>
      <c r="B295" s="17">
        <v>65</v>
      </c>
      <c r="C295" s="17">
        <v>44</v>
      </c>
      <c r="D295" s="28">
        <v>43307</v>
      </c>
      <c r="E295" s="19">
        <f>[1]!Tabela1[[#This Row],[PSA]]/[1]!Tabela1[[#This Row],[MRI vol]]</f>
        <v>1.0731707317073171</v>
      </c>
      <c r="F295" s="17"/>
      <c r="G295" s="17"/>
      <c r="H295" s="17">
        <v>41</v>
      </c>
      <c r="I295" s="17">
        <v>5</v>
      </c>
      <c r="J295" s="17"/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20</v>
      </c>
      <c r="R295" s="20">
        <v>3</v>
      </c>
      <c r="S295" s="17"/>
      <c r="T295" s="17"/>
      <c r="U295" s="20">
        <v>3</v>
      </c>
      <c r="V295" s="17"/>
      <c r="W295" s="17"/>
      <c r="X295" s="17">
        <v>3</v>
      </c>
      <c r="Y295" s="17">
        <v>3</v>
      </c>
      <c r="Z295" s="17">
        <v>3</v>
      </c>
      <c r="AA295" s="17">
        <v>1</v>
      </c>
      <c r="AB295" s="17">
        <v>1</v>
      </c>
      <c r="AC295" s="17">
        <v>1</v>
      </c>
      <c r="AD295" s="17">
        <v>1</v>
      </c>
      <c r="AE295" s="17">
        <v>1</v>
      </c>
      <c r="AF295" s="17">
        <v>1</v>
      </c>
      <c r="AG295" s="17">
        <v>1</v>
      </c>
      <c r="AH295" s="17">
        <v>1</v>
      </c>
      <c r="AI295" s="17" t="s">
        <v>72</v>
      </c>
      <c r="AJ295" s="17"/>
      <c r="AK295" s="21"/>
    </row>
    <row r="296" spans="1:37" x14ac:dyDescent="0.25">
      <c r="A296" s="12" t="s">
        <v>389</v>
      </c>
      <c r="B296" s="12">
        <v>62</v>
      </c>
      <c r="C296" s="12">
        <v>14</v>
      </c>
      <c r="D296" s="27">
        <v>43531</v>
      </c>
      <c r="E296" s="14">
        <f>[1]!Tabela1[[#This Row],[PSA]]/[1]!Tabela1[[#This Row],[MRI vol]]</f>
        <v>0.5</v>
      </c>
      <c r="F296" s="12"/>
      <c r="G296" s="12"/>
      <c r="H296" s="12">
        <v>28</v>
      </c>
      <c r="I296" s="12">
        <v>5</v>
      </c>
      <c r="J296" s="12"/>
      <c r="K296" s="15">
        <v>0</v>
      </c>
      <c r="L296" s="15">
        <v>0</v>
      </c>
      <c r="M296" s="15">
        <v>0</v>
      </c>
      <c r="N296" s="15">
        <v>1</v>
      </c>
      <c r="O296" s="15">
        <v>1</v>
      </c>
      <c r="P296" s="15">
        <v>0</v>
      </c>
      <c r="Q296" s="15">
        <v>25</v>
      </c>
      <c r="R296" s="15">
        <v>1</v>
      </c>
      <c r="S296" s="12"/>
      <c r="T296" s="12"/>
      <c r="U296" s="15">
        <v>2</v>
      </c>
      <c r="V296" s="12"/>
      <c r="W296" s="12"/>
      <c r="X296" s="12">
        <v>3</v>
      </c>
      <c r="Y296" s="12">
        <v>3</v>
      </c>
      <c r="Z296" s="12">
        <v>3</v>
      </c>
      <c r="AA296" s="12">
        <v>0</v>
      </c>
      <c r="AB296" s="12">
        <v>1</v>
      </c>
      <c r="AC296" s="12"/>
      <c r="AD296" s="12"/>
      <c r="AE296" s="12"/>
      <c r="AF296" s="12"/>
      <c r="AG296" s="12"/>
      <c r="AH296" s="12"/>
      <c r="AI296" s="12" t="s">
        <v>47</v>
      </c>
      <c r="AJ296" s="12"/>
      <c r="AK296" s="16"/>
    </row>
    <row r="297" spans="1:37" x14ac:dyDescent="0.25">
      <c r="A297" s="17" t="s">
        <v>390</v>
      </c>
      <c r="B297" s="17">
        <v>66</v>
      </c>
      <c r="C297" s="17">
        <v>6.2</v>
      </c>
      <c r="D297" s="28">
        <v>42573</v>
      </c>
      <c r="E297" s="19">
        <f>[1]!Tabela1[[#This Row],[PSA]]/[1]!Tabela1[[#This Row],[MRI vol]]</f>
        <v>0.21379310344827587</v>
      </c>
      <c r="F297" s="17"/>
      <c r="G297" s="17"/>
      <c r="H297" s="17">
        <v>29</v>
      </c>
      <c r="I297" s="17">
        <v>5</v>
      </c>
      <c r="J297" s="17"/>
      <c r="K297" s="20">
        <v>0</v>
      </c>
      <c r="L297" s="20">
        <v>0</v>
      </c>
      <c r="M297" s="20">
        <v>0</v>
      </c>
      <c r="N297" s="20">
        <v>0</v>
      </c>
      <c r="O297" s="20">
        <v>0</v>
      </c>
      <c r="P297" s="20">
        <v>0</v>
      </c>
      <c r="Q297" s="20">
        <v>19</v>
      </c>
      <c r="R297" s="20">
        <v>2</v>
      </c>
      <c r="S297" s="17"/>
      <c r="T297" s="17"/>
      <c r="U297" s="20">
        <v>2</v>
      </c>
      <c r="V297" s="17"/>
      <c r="W297" s="17"/>
      <c r="X297" s="17">
        <v>3</v>
      </c>
      <c r="Y297" s="17">
        <v>3</v>
      </c>
      <c r="Z297" s="17">
        <v>3</v>
      </c>
      <c r="AA297" s="17">
        <v>0</v>
      </c>
      <c r="AB297" s="17">
        <v>0</v>
      </c>
      <c r="AC297" s="17">
        <v>0</v>
      </c>
      <c r="AD297" s="17">
        <v>0</v>
      </c>
      <c r="AE297" s="17">
        <v>0</v>
      </c>
      <c r="AF297" s="17">
        <v>0</v>
      </c>
      <c r="AG297" s="17">
        <v>0</v>
      </c>
      <c r="AH297" s="17">
        <v>0</v>
      </c>
      <c r="AI297" s="17" t="s">
        <v>53</v>
      </c>
      <c r="AJ297" s="17"/>
      <c r="AK297" s="21"/>
    </row>
    <row r="298" spans="1:37" x14ac:dyDescent="0.25">
      <c r="A298" s="12" t="s">
        <v>391</v>
      </c>
      <c r="B298" s="12">
        <v>61</v>
      </c>
      <c r="C298" s="12">
        <v>6.1</v>
      </c>
      <c r="D298" s="27">
        <v>42419</v>
      </c>
      <c r="E298" s="14">
        <f>[1]!Tabela1[[#This Row],[PSA]]/[1]!Tabela1[[#This Row],[MRI vol]]</f>
        <v>0.1525</v>
      </c>
      <c r="F298" s="12"/>
      <c r="G298" s="12"/>
      <c r="H298" s="12">
        <v>40</v>
      </c>
      <c r="I298" s="12">
        <v>5</v>
      </c>
      <c r="J298" s="12"/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16</v>
      </c>
      <c r="R298" s="15">
        <v>1</v>
      </c>
      <c r="S298" s="12"/>
      <c r="T298" s="12"/>
      <c r="U298" s="15">
        <v>4</v>
      </c>
      <c r="V298" s="12"/>
      <c r="W298" s="12"/>
      <c r="X298" s="12">
        <v>2</v>
      </c>
      <c r="Y298" s="12">
        <v>2</v>
      </c>
      <c r="Z298" s="12">
        <v>2</v>
      </c>
      <c r="AA298" s="12">
        <v>0</v>
      </c>
      <c r="AB298" s="12">
        <v>0</v>
      </c>
      <c r="AC298" s="12">
        <v>1</v>
      </c>
      <c r="AD298" s="12">
        <v>0</v>
      </c>
      <c r="AE298" s="12">
        <v>1</v>
      </c>
      <c r="AF298" s="12">
        <v>1</v>
      </c>
      <c r="AG298" s="12">
        <v>0</v>
      </c>
      <c r="AH298" s="12">
        <v>1</v>
      </c>
      <c r="AI298" s="12" t="s">
        <v>72</v>
      </c>
      <c r="AJ298" s="12"/>
      <c r="AK298" s="16"/>
    </row>
    <row r="299" spans="1:37" x14ac:dyDescent="0.25">
      <c r="A299" s="17" t="s">
        <v>392</v>
      </c>
      <c r="B299" s="17">
        <v>64</v>
      </c>
      <c r="C299" s="17">
        <v>24.6</v>
      </c>
      <c r="D299" s="28">
        <v>42349</v>
      </c>
      <c r="E299" s="19">
        <f>[1]!Tabela1[[#This Row],[PSA]]/[1]!Tabela1[[#This Row],[MRI vol]]</f>
        <v>0.43928571428571433</v>
      </c>
      <c r="F299" s="17"/>
      <c r="G299" s="17"/>
      <c r="H299" s="17">
        <v>56</v>
      </c>
      <c r="I299" s="17">
        <v>5</v>
      </c>
      <c r="J299" s="17"/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15</v>
      </c>
      <c r="R299" s="20">
        <v>0</v>
      </c>
      <c r="S299" s="17"/>
      <c r="T299" s="17"/>
      <c r="U299" s="20">
        <v>3</v>
      </c>
      <c r="V299" s="17"/>
      <c r="W299" s="17"/>
      <c r="X299" s="17">
        <v>1</v>
      </c>
      <c r="Y299" s="17">
        <v>1</v>
      </c>
      <c r="Z299" s="17">
        <v>1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 t="s">
        <v>53</v>
      </c>
      <c r="AJ299" s="17"/>
      <c r="AK299" s="21"/>
    </row>
    <row r="300" spans="1:37" x14ac:dyDescent="0.25">
      <c r="A300" s="12" t="s">
        <v>393</v>
      </c>
      <c r="B300" s="12">
        <v>59</v>
      </c>
      <c r="C300" s="12">
        <v>7.7</v>
      </c>
      <c r="D300" s="27">
        <v>43866</v>
      </c>
      <c r="E300" s="14">
        <f>[1]!Tabela1[[#This Row],[PSA]]/[1]!Tabela1[[#This Row],[MRI vol]]</f>
        <v>0.26551724137931038</v>
      </c>
      <c r="F300" s="12"/>
      <c r="G300" s="12"/>
      <c r="H300" s="12">
        <v>29</v>
      </c>
      <c r="I300" s="12">
        <v>5</v>
      </c>
      <c r="J300" s="12"/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17</v>
      </c>
      <c r="R300" s="15">
        <v>1</v>
      </c>
      <c r="S300" s="12"/>
      <c r="T300" s="12"/>
      <c r="U300" s="15">
        <v>1</v>
      </c>
      <c r="V300" s="12"/>
      <c r="W300" s="12"/>
      <c r="X300" s="12">
        <v>2</v>
      </c>
      <c r="Y300" s="12">
        <v>2</v>
      </c>
      <c r="Z300" s="12">
        <v>4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 t="s">
        <v>53</v>
      </c>
      <c r="AJ300" s="12"/>
      <c r="AK300" s="16"/>
    </row>
    <row r="301" spans="1:37" x14ac:dyDescent="0.25">
      <c r="A301" s="17" t="s">
        <v>394</v>
      </c>
      <c r="B301" s="17">
        <v>61</v>
      </c>
      <c r="C301" s="17">
        <v>7</v>
      </c>
      <c r="D301" s="28">
        <v>42878</v>
      </c>
      <c r="E301" s="19">
        <f>[1]!Tabela1[[#This Row],[PSA]]/[1]!Tabela1[[#This Row],[MRI vol]]</f>
        <v>0.25</v>
      </c>
      <c r="F301" s="17"/>
      <c r="G301" s="17"/>
      <c r="H301" s="17">
        <v>28</v>
      </c>
      <c r="I301" s="17">
        <v>4</v>
      </c>
      <c r="J301" s="17"/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6</v>
      </c>
      <c r="R301" s="20">
        <v>2</v>
      </c>
      <c r="S301" s="17"/>
      <c r="T301" s="17"/>
      <c r="U301" s="20">
        <v>0</v>
      </c>
      <c r="V301" s="17"/>
      <c r="W301" s="17"/>
      <c r="X301" s="17">
        <v>2</v>
      </c>
      <c r="Y301" s="17">
        <v>2</v>
      </c>
      <c r="Z301" s="17">
        <v>2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 t="s">
        <v>53</v>
      </c>
      <c r="AJ301" s="17"/>
      <c r="AK301" s="21"/>
    </row>
    <row r="302" spans="1:37" x14ac:dyDescent="0.25">
      <c r="A302" s="12" t="s">
        <v>395</v>
      </c>
      <c r="B302" s="12">
        <v>79</v>
      </c>
      <c r="C302" s="12">
        <v>4.2</v>
      </c>
      <c r="D302" s="27">
        <v>43005</v>
      </c>
      <c r="E302" s="14">
        <f>[1]!Tabela1[[#This Row],[PSA]]/[1]!Tabela1[[#This Row],[MRI vol]]</f>
        <v>5.1851851851851857E-2</v>
      </c>
      <c r="F302" s="12"/>
      <c r="G302" s="12"/>
      <c r="H302" s="12">
        <v>81</v>
      </c>
      <c r="I302" s="12">
        <v>5</v>
      </c>
      <c r="J302" s="12"/>
      <c r="K302" s="15">
        <v>1</v>
      </c>
      <c r="L302" s="15">
        <v>0</v>
      </c>
      <c r="M302" s="15">
        <v>1</v>
      </c>
      <c r="N302" s="15">
        <v>0</v>
      </c>
      <c r="O302" s="15">
        <v>0</v>
      </c>
      <c r="P302" s="15">
        <v>0</v>
      </c>
      <c r="Q302" s="15">
        <v>15</v>
      </c>
      <c r="R302" s="15">
        <v>1</v>
      </c>
      <c r="S302" s="12"/>
      <c r="T302" s="12"/>
      <c r="U302" s="15">
        <v>0</v>
      </c>
      <c r="V302" s="12"/>
      <c r="W302" s="12"/>
      <c r="X302" s="12">
        <v>1</v>
      </c>
      <c r="Y302" s="12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 t="s">
        <v>130</v>
      </c>
      <c r="AJ302" s="12"/>
      <c r="AK302" s="16"/>
    </row>
    <row r="303" spans="1:37" x14ac:dyDescent="0.25">
      <c r="A303" s="17" t="s">
        <v>396</v>
      </c>
      <c r="B303" s="17">
        <v>57</v>
      </c>
      <c r="C303" s="17">
        <v>12.3</v>
      </c>
      <c r="D303" s="28">
        <v>42852</v>
      </c>
      <c r="E303" s="19">
        <f>[1]!Tabela1[[#This Row],[PSA]]/[1]!Tabela1[[#This Row],[MRI vol]]</f>
        <v>0.31538461538461543</v>
      </c>
      <c r="F303" s="17"/>
      <c r="G303" s="17"/>
      <c r="H303" s="17">
        <v>39</v>
      </c>
      <c r="I303" s="17">
        <v>5</v>
      </c>
      <c r="J303" s="17"/>
      <c r="K303" s="20">
        <v>0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24</v>
      </c>
      <c r="R303" s="20">
        <v>2</v>
      </c>
      <c r="S303" s="17"/>
      <c r="T303" s="17"/>
      <c r="U303" s="20">
        <v>2</v>
      </c>
      <c r="V303" s="17"/>
      <c r="W303" s="17"/>
      <c r="X303" s="17">
        <v>2</v>
      </c>
      <c r="Y303" s="17">
        <v>2</v>
      </c>
      <c r="Z303" s="17">
        <v>2</v>
      </c>
      <c r="AA303" s="17">
        <v>0</v>
      </c>
      <c r="AB303" s="17">
        <v>0</v>
      </c>
      <c r="AC303" s="17">
        <v>0</v>
      </c>
      <c r="AD303" s="17">
        <v>0</v>
      </c>
      <c r="AE303" s="17">
        <v>0</v>
      </c>
      <c r="AF303" s="17">
        <v>0</v>
      </c>
      <c r="AG303" s="17">
        <v>0</v>
      </c>
      <c r="AH303" s="17">
        <v>0</v>
      </c>
      <c r="AI303" s="17" t="s">
        <v>53</v>
      </c>
      <c r="AJ303" s="17"/>
      <c r="AK303" s="21"/>
    </row>
    <row r="304" spans="1:37" x14ac:dyDescent="0.25">
      <c r="A304" s="12" t="s">
        <v>397</v>
      </c>
      <c r="B304" s="12">
        <v>53</v>
      </c>
      <c r="C304" s="12">
        <v>5.9</v>
      </c>
      <c r="D304" s="27">
        <v>43011</v>
      </c>
      <c r="E304" s="14">
        <f>[1]!Tabela1[[#This Row],[PSA]]/[1]!Tabela1[[#This Row],[MRI vol]]</f>
        <v>0.14047619047619048</v>
      </c>
      <c r="F304" s="12"/>
      <c r="G304" s="12"/>
      <c r="H304" s="12">
        <v>42</v>
      </c>
      <c r="I304" s="12">
        <v>4</v>
      </c>
      <c r="J304" s="12"/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11</v>
      </c>
      <c r="R304" s="15">
        <v>3</v>
      </c>
      <c r="S304" s="12"/>
      <c r="T304" s="12"/>
      <c r="U304" s="15">
        <v>0</v>
      </c>
      <c r="V304" s="12"/>
      <c r="W304" s="12"/>
      <c r="X304" s="12">
        <v>2</v>
      </c>
      <c r="Y304" s="12">
        <v>2</v>
      </c>
      <c r="Z304" s="12">
        <v>2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 t="s">
        <v>53</v>
      </c>
      <c r="AJ304" s="12"/>
      <c r="AK304" s="16"/>
    </row>
    <row r="305" spans="1:37" x14ac:dyDescent="0.25">
      <c r="A305" s="17" t="s">
        <v>398</v>
      </c>
      <c r="B305" s="17">
        <v>73</v>
      </c>
      <c r="C305" s="17">
        <v>97</v>
      </c>
      <c r="D305" s="28">
        <v>42849</v>
      </c>
      <c r="E305" s="19">
        <f>[1]!Tabela1[[#This Row],[PSA]]/[1]!Tabela1[[#This Row],[MRI vol]]</f>
        <v>2.6944444444444446</v>
      </c>
      <c r="F305" s="17"/>
      <c r="G305" s="17"/>
      <c r="H305" s="17">
        <v>36</v>
      </c>
      <c r="I305" s="17">
        <v>5</v>
      </c>
      <c r="J305" s="17"/>
      <c r="K305" s="20">
        <v>1</v>
      </c>
      <c r="L305" s="20">
        <v>1</v>
      </c>
      <c r="M305" s="20">
        <v>1</v>
      </c>
      <c r="N305" s="20">
        <v>1</v>
      </c>
      <c r="O305" s="20">
        <v>1</v>
      </c>
      <c r="P305" s="20">
        <v>1</v>
      </c>
      <c r="Q305" s="20">
        <v>33</v>
      </c>
      <c r="R305" s="20">
        <v>4</v>
      </c>
      <c r="S305" s="17"/>
      <c r="T305" s="17"/>
      <c r="U305" s="20">
        <v>4</v>
      </c>
      <c r="V305" s="17"/>
      <c r="W305" s="17"/>
      <c r="X305" s="17">
        <v>4</v>
      </c>
      <c r="Y305" s="17">
        <v>4</v>
      </c>
      <c r="Z305" s="17">
        <v>4</v>
      </c>
      <c r="AA305" s="17">
        <v>1</v>
      </c>
      <c r="AB305" s="17">
        <v>1</v>
      </c>
      <c r="AC305" s="17">
        <v>1</v>
      </c>
      <c r="AD305" s="17">
        <v>1</v>
      </c>
      <c r="AE305" s="17">
        <v>1</v>
      </c>
      <c r="AF305" s="17">
        <v>1</v>
      </c>
      <c r="AG305" s="17">
        <v>1</v>
      </c>
      <c r="AH305" s="17">
        <v>1</v>
      </c>
      <c r="AI305" s="17" t="s">
        <v>72</v>
      </c>
      <c r="AJ305" s="17"/>
      <c r="AK305" s="21"/>
    </row>
    <row r="306" spans="1:37" x14ac:dyDescent="0.25">
      <c r="A306" s="12" t="s">
        <v>399</v>
      </c>
      <c r="B306" s="12">
        <v>69</v>
      </c>
      <c r="C306" s="12">
        <v>9.6</v>
      </c>
      <c r="D306" s="27">
        <v>43271</v>
      </c>
      <c r="E306" s="14">
        <f>[1]!Tabela1[[#This Row],[PSA]]/[1]!Tabela1[[#This Row],[MRI vol]]</f>
        <v>0.3</v>
      </c>
      <c r="F306" s="12"/>
      <c r="G306" s="12"/>
      <c r="H306" s="12">
        <v>32</v>
      </c>
      <c r="I306" s="12">
        <v>4</v>
      </c>
      <c r="J306" s="12"/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11</v>
      </c>
      <c r="R306" s="15">
        <v>2</v>
      </c>
      <c r="S306" s="12"/>
      <c r="T306" s="12"/>
      <c r="U306" s="15">
        <v>0</v>
      </c>
      <c r="V306" s="12"/>
      <c r="W306" s="12"/>
      <c r="X306" s="12">
        <v>2</v>
      </c>
      <c r="Y306" s="12">
        <v>2</v>
      </c>
      <c r="Z306" s="12">
        <v>2</v>
      </c>
      <c r="AA306" s="12">
        <v>0</v>
      </c>
      <c r="AB306" s="12">
        <v>0</v>
      </c>
      <c r="AC306" s="12">
        <v>1</v>
      </c>
      <c r="AD306" s="12">
        <v>1</v>
      </c>
      <c r="AE306" s="12">
        <v>1</v>
      </c>
      <c r="AF306" s="12">
        <v>0</v>
      </c>
      <c r="AG306" s="12">
        <v>0</v>
      </c>
      <c r="AH306" s="12">
        <v>0</v>
      </c>
      <c r="AI306" s="12" t="s">
        <v>47</v>
      </c>
      <c r="AJ306" s="12"/>
      <c r="AK306" s="16"/>
    </row>
    <row r="307" spans="1:37" x14ac:dyDescent="0.25">
      <c r="A307" s="17" t="s">
        <v>400</v>
      </c>
      <c r="B307" s="17">
        <v>72</v>
      </c>
      <c r="C307" s="17"/>
      <c r="D307" s="28">
        <v>43159</v>
      </c>
      <c r="E307" s="19">
        <f>[1]!Tabela1[[#This Row],[PSA]]/[1]!Tabela1[[#This Row],[MRI vol]]</f>
        <v>0</v>
      </c>
      <c r="F307" s="17"/>
      <c r="G307" s="17"/>
      <c r="H307" s="17">
        <v>47</v>
      </c>
      <c r="I307" s="17">
        <v>5</v>
      </c>
      <c r="J307" s="17"/>
      <c r="K307" s="20">
        <v>0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15</v>
      </c>
      <c r="R307" s="20">
        <v>1</v>
      </c>
      <c r="S307" s="17"/>
      <c r="T307" s="17"/>
      <c r="U307" s="20">
        <v>2</v>
      </c>
      <c r="V307" s="17"/>
      <c r="W307" s="17"/>
      <c r="X307" s="17">
        <v>3</v>
      </c>
      <c r="Y307" s="17">
        <v>3</v>
      </c>
      <c r="Z307" s="17">
        <v>3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 t="s">
        <v>53</v>
      </c>
      <c r="AJ307" s="17"/>
      <c r="AK307" s="21"/>
    </row>
    <row r="308" spans="1:37" x14ac:dyDescent="0.25">
      <c r="A308" s="12" t="s">
        <v>401</v>
      </c>
      <c r="B308" s="12">
        <v>61</v>
      </c>
      <c r="C308" s="12">
        <v>32</v>
      </c>
      <c r="D308" s="27">
        <v>43979</v>
      </c>
      <c r="E308" s="14">
        <f>[1]!Tabela1[[#This Row],[PSA]]/[1]!Tabela1[[#This Row],[MRI vol]]</f>
        <v>0.94117647058823528</v>
      </c>
      <c r="F308" s="12"/>
      <c r="G308" s="12"/>
      <c r="H308" s="12">
        <v>34</v>
      </c>
      <c r="I308" s="12">
        <v>5</v>
      </c>
      <c r="J308" s="12"/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30</v>
      </c>
      <c r="R308" s="12"/>
      <c r="S308" s="12"/>
      <c r="T308" s="12"/>
      <c r="U308" s="12"/>
      <c r="V308" s="12"/>
      <c r="W308" s="12"/>
      <c r="X308" s="12">
        <v>4</v>
      </c>
      <c r="Y308" s="12">
        <v>4</v>
      </c>
      <c r="Z308" s="12">
        <v>4</v>
      </c>
      <c r="AA308" s="12">
        <v>1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 t="s">
        <v>53</v>
      </c>
      <c r="AJ308" s="12"/>
      <c r="AK308" s="16"/>
    </row>
    <row r="309" spans="1:37" x14ac:dyDescent="0.25">
      <c r="A309" s="17" t="s">
        <v>402</v>
      </c>
      <c r="B309" s="17">
        <v>71</v>
      </c>
      <c r="C309" s="17">
        <v>7.5</v>
      </c>
      <c r="D309" s="28">
        <v>42900</v>
      </c>
      <c r="E309" s="19">
        <f>[1]!Tabela1[[#This Row],[PSA]]/[1]!Tabela1[[#This Row],[MRI vol]]</f>
        <v>0.3</v>
      </c>
      <c r="F309" s="17"/>
      <c r="G309" s="17"/>
      <c r="H309" s="17">
        <v>25</v>
      </c>
      <c r="I309" s="17">
        <v>4</v>
      </c>
      <c r="J309" s="17"/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10</v>
      </c>
      <c r="R309" s="20">
        <v>1</v>
      </c>
      <c r="S309" s="17"/>
      <c r="T309" s="17"/>
      <c r="U309" s="20">
        <v>1</v>
      </c>
      <c r="V309" s="17"/>
      <c r="W309" s="17"/>
      <c r="X309" s="17">
        <v>1</v>
      </c>
      <c r="Y309" s="17">
        <v>1</v>
      </c>
      <c r="Z309" s="17">
        <v>1</v>
      </c>
      <c r="AA309" s="17">
        <v>0</v>
      </c>
      <c r="AB309" s="17">
        <v>0</v>
      </c>
      <c r="AC309" s="17">
        <v>0</v>
      </c>
      <c r="AD309" s="17">
        <v>0</v>
      </c>
      <c r="AE309" s="17">
        <v>0</v>
      </c>
      <c r="AF309" s="17">
        <v>0</v>
      </c>
      <c r="AG309" s="17">
        <v>0</v>
      </c>
      <c r="AH309" s="17">
        <v>0</v>
      </c>
      <c r="AI309" s="17" t="s">
        <v>53</v>
      </c>
      <c r="AJ309" s="17"/>
      <c r="AK309" s="21"/>
    </row>
    <row r="310" spans="1:37" x14ac:dyDescent="0.25">
      <c r="A310" s="12" t="s">
        <v>403</v>
      </c>
      <c r="B310" s="12">
        <v>67</v>
      </c>
      <c r="C310" s="12">
        <v>7.8</v>
      </c>
      <c r="D310" s="27">
        <v>43236</v>
      </c>
      <c r="E310" s="14">
        <f>[1]!Tabela1[[#This Row],[PSA]]/[1]!Tabela1[[#This Row],[MRI vol]]</f>
        <v>0.1054054054054054</v>
      </c>
      <c r="F310" s="12"/>
      <c r="G310" s="12"/>
      <c r="H310" s="12">
        <v>74</v>
      </c>
      <c r="I310" s="12">
        <v>4</v>
      </c>
      <c r="J310" s="12"/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9</v>
      </c>
      <c r="R310" s="15">
        <v>1</v>
      </c>
      <c r="S310" s="12"/>
      <c r="T310" s="12"/>
      <c r="U310" s="15">
        <v>0</v>
      </c>
      <c r="V310" s="12"/>
      <c r="W310" s="12"/>
      <c r="X310" s="12">
        <v>1</v>
      </c>
      <c r="Y310" s="12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 t="s">
        <v>130</v>
      </c>
      <c r="AJ310" s="12"/>
      <c r="AK310" s="16"/>
    </row>
    <row r="311" spans="1:37" x14ac:dyDescent="0.25">
      <c r="A311" s="17" t="s">
        <v>404</v>
      </c>
      <c r="B311" s="17">
        <v>65</v>
      </c>
      <c r="C311" s="17">
        <v>5.9</v>
      </c>
      <c r="D311" s="28">
        <v>43075</v>
      </c>
      <c r="E311" s="19">
        <f>[1]!Tabela1[[#This Row],[PSA]]/[1]!Tabela1[[#This Row],[MRI vol]]</f>
        <v>0.19666666666666668</v>
      </c>
      <c r="F311" s="17"/>
      <c r="G311" s="17"/>
      <c r="H311" s="17">
        <v>30</v>
      </c>
      <c r="I311" s="17">
        <v>4</v>
      </c>
      <c r="J311" s="17"/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7</v>
      </c>
      <c r="R311" s="20">
        <v>1</v>
      </c>
      <c r="S311" s="17"/>
      <c r="T311" s="17"/>
      <c r="U311" s="20">
        <v>1</v>
      </c>
      <c r="V311" s="17"/>
      <c r="W311" s="17"/>
      <c r="X311" s="17">
        <v>1</v>
      </c>
      <c r="Y311" s="17">
        <v>1</v>
      </c>
      <c r="Z311" s="17">
        <v>1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 t="s">
        <v>53</v>
      </c>
      <c r="AJ311" s="17"/>
      <c r="AK311" s="21"/>
    </row>
    <row r="312" spans="1:37" x14ac:dyDescent="0.25">
      <c r="A312" s="12" t="s">
        <v>405</v>
      </c>
      <c r="B312" s="12">
        <v>63</v>
      </c>
      <c r="C312" s="12">
        <v>5.7</v>
      </c>
      <c r="D312" s="27">
        <v>42781</v>
      </c>
      <c r="E312" s="14">
        <f>[1]!Tabela1[[#This Row],[PSA]]/[1]!Tabela1[[#This Row],[MRI vol]]</f>
        <v>0.10363636363636364</v>
      </c>
      <c r="F312" s="12"/>
      <c r="G312" s="12"/>
      <c r="H312" s="12">
        <v>55</v>
      </c>
      <c r="I312" s="12">
        <v>4</v>
      </c>
      <c r="J312" s="12"/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17</v>
      </c>
      <c r="R312" s="15">
        <v>1</v>
      </c>
      <c r="S312" s="12"/>
      <c r="T312" s="12"/>
      <c r="U312" s="15">
        <v>0</v>
      </c>
      <c r="V312" s="12"/>
      <c r="W312" s="12"/>
      <c r="X312" s="12">
        <v>1</v>
      </c>
      <c r="Y312" s="12">
        <v>1</v>
      </c>
      <c r="Z312" s="12">
        <v>1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 t="s">
        <v>53</v>
      </c>
      <c r="AJ312" s="12"/>
      <c r="AK312" s="16"/>
    </row>
    <row r="313" spans="1:37" x14ac:dyDescent="0.25">
      <c r="A313" s="17" t="s">
        <v>406</v>
      </c>
      <c r="B313" s="17">
        <v>59</v>
      </c>
      <c r="C313" s="17">
        <v>7</v>
      </c>
      <c r="D313" s="28">
        <v>43410</v>
      </c>
      <c r="E313" s="19">
        <f>[1]!Tabela1[[#This Row],[PSA]]/[1]!Tabela1[[#This Row],[MRI vol]]</f>
        <v>0.22580645161290322</v>
      </c>
      <c r="F313" s="17"/>
      <c r="G313" s="17"/>
      <c r="H313" s="17">
        <v>31</v>
      </c>
      <c r="I313" s="17">
        <v>3</v>
      </c>
      <c r="J313" s="17"/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17"/>
      <c r="R313" s="20">
        <v>1</v>
      </c>
      <c r="S313" s="17"/>
      <c r="T313" s="17"/>
      <c r="U313" s="20">
        <v>1</v>
      </c>
      <c r="V313" s="17"/>
      <c r="W313" s="17"/>
      <c r="X313" s="17">
        <v>1</v>
      </c>
      <c r="Y313" s="17">
        <v>1</v>
      </c>
      <c r="Z313" s="17">
        <v>1</v>
      </c>
      <c r="AA313" s="17">
        <v>1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 t="s">
        <v>53</v>
      </c>
      <c r="AJ313" s="17"/>
      <c r="AK313" s="21"/>
    </row>
    <row r="314" spans="1:37" x14ac:dyDescent="0.25">
      <c r="A314" s="12" t="s">
        <v>407</v>
      </c>
      <c r="B314" s="12">
        <v>61</v>
      </c>
      <c r="C314" s="12">
        <v>7</v>
      </c>
      <c r="D314" s="27">
        <v>43076</v>
      </c>
      <c r="E314" s="14">
        <f>[1]!Tabela1[[#This Row],[PSA]]/[1]!Tabela1[[#This Row],[MRI vol]]</f>
        <v>0.17073170731707318</v>
      </c>
      <c r="F314" s="12"/>
      <c r="G314" s="12"/>
      <c r="H314" s="12">
        <v>41</v>
      </c>
      <c r="I314" s="12">
        <v>4</v>
      </c>
      <c r="J314" s="12"/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11</v>
      </c>
      <c r="R314" s="15">
        <v>2</v>
      </c>
      <c r="S314" s="12"/>
      <c r="T314" s="12"/>
      <c r="U314" s="15">
        <v>2</v>
      </c>
      <c r="V314" s="12"/>
      <c r="W314" s="12"/>
      <c r="X314" s="12">
        <v>2</v>
      </c>
      <c r="Y314" s="12">
        <v>1</v>
      </c>
      <c r="Z314" s="12">
        <v>2</v>
      </c>
      <c r="AA314" s="12">
        <v>1</v>
      </c>
      <c r="AB314" s="12">
        <v>0</v>
      </c>
      <c r="AC314" s="12">
        <v>1</v>
      </c>
      <c r="AD314" s="12">
        <v>1</v>
      </c>
      <c r="AE314" s="12">
        <v>0</v>
      </c>
      <c r="AF314" s="12">
        <v>0</v>
      </c>
      <c r="AG314" s="12">
        <v>0</v>
      </c>
      <c r="AH314" s="12">
        <v>0</v>
      </c>
      <c r="AI314" s="12" t="s">
        <v>47</v>
      </c>
      <c r="AJ314" s="12"/>
      <c r="AK314" s="16"/>
    </row>
    <row r="315" spans="1:37" x14ac:dyDescent="0.25">
      <c r="A315" s="17" t="s">
        <v>408</v>
      </c>
      <c r="B315" s="17">
        <v>72</v>
      </c>
      <c r="C315" s="17">
        <v>4.5999999999999996</v>
      </c>
      <c r="D315" s="28">
        <v>43969</v>
      </c>
      <c r="E315" s="19">
        <f>[1]!Tabela1[[#This Row],[PSA]]/[1]!Tabela1[[#This Row],[MRI vol]]</f>
        <v>2.7878787878787878E-2</v>
      </c>
      <c r="F315" s="17"/>
      <c r="G315" s="17"/>
      <c r="H315" s="17">
        <v>165</v>
      </c>
      <c r="I315" s="17">
        <v>2</v>
      </c>
      <c r="J315" s="17"/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63</v>
      </c>
      <c r="R315" s="20">
        <v>0</v>
      </c>
      <c r="S315" s="17"/>
      <c r="T315" s="17"/>
      <c r="U315" s="20">
        <v>0</v>
      </c>
      <c r="V315" s="17"/>
      <c r="W315" s="17"/>
      <c r="X315" s="17">
        <v>2</v>
      </c>
      <c r="Y315" s="17">
        <v>2</v>
      </c>
      <c r="Z315" s="17">
        <v>2</v>
      </c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21"/>
    </row>
    <row r="316" spans="1:37" x14ac:dyDescent="0.25">
      <c r="A316" s="12" t="s">
        <v>409</v>
      </c>
      <c r="B316" s="12">
        <v>57</v>
      </c>
      <c r="C316" s="12">
        <v>8.8000000000000007</v>
      </c>
      <c r="D316" s="27">
        <v>42894</v>
      </c>
      <c r="E316" s="14">
        <f>[1]!Tabela1[[#This Row],[PSA]]/[1]!Tabela1[[#This Row],[MRI vol]]</f>
        <v>0.38260869565217392</v>
      </c>
      <c r="F316" s="12"/>
      <c r="G316" s="12"/>
      <c r="H316" s="12">
        <v>23</v>
      </c>
      <c r="I316" s="12">
        <v>4</v>
      </c>
      <c r="J316" s="12"/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32</v>
      </c>
      <c r="R316" s="15">
        <v>1</v>
      </c>
      <c r="S316" s="12"/>
      <c r="T316" s="12"/>
      <c r="U316" s="15">
        <v>1</v>
      </c>
      <c r="V316" s="12"/>
      <c r="W316" s="12"/>
      <c r="X316" s="12">
        <v>1</v>
      </c>
      <c r="Y316" s="12">
        <v>1</v>
      </c>
      <c r="Z316" s="12">
        <v>1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 t="s">
        <v>53</v>
      </c>
      <c r="AJ316" s="12"/>
      <c r="AK316" s="16"/>
    </row>
    <row r="317" spans="1:37" x14ac:dyDescent="0.25">
      <c r="A317" s="17" t="s">
        <v>410</v>
      </c>
      <c r="B317" s="17">
        <v>66</v>
      </c>
      <c r="C317" s="17">
        <v>6.8</v>
      </c>
      <c r="D317" s="28">
        <v>42482</v>
      </c>
      <c r="E317" s="19">
        <f>[1]!Tabela1[[#This Row],[PSA]]/[1]!Tabela1[[#This Row],[MRI vol]]</f>
        <v>0.16585365853658537</v>
      </c>
      <c r="F317" s="17"/>
      <c r="G317" s="17"/>
      <c r="H317" s="17">
        <v>41</v>
      </c>
      <c r="I317" s="17">
        <v>4</v>
      </c>
      <c r="J317" s="17"/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11</v>
      </c>
      <c r="R317" s="20">
        <v>0</v>
      </c>
      <c r="S317" s="17"/>
      <c r="T317" s="17"/>
      <c r="U317" s="20">
        <v>3</v>
      </c>
      <c r="V317" s="17"/>
      <c r="W317" s="17"/>
      <c r="X317" s="17">
        <v>2</v>
      </c>
      <c r="Y317" s="17">
        <v>2</v>
      </c>
      <c r="Z317" s="17">
        <v>2</v>
      </c>
      <c r="AA317" s="17">
        <v>0</v>
      </c>
      <c r="AB317" s="17">
        <v>0</v>
      </c>
      <c r="AC317" s="17">
        <v>0</v>
      </c>
      <c r="AD317" s="17">
        <v>0</v>
      </c>
      <c r="AE317" s="17">
        <v>0</v>
      </c>
      <c r="AF317" s="17">
        <v>0</v>
      </c>
      <c r="AG317" s="17">
        <v>0</v>
      </c>
      <c r="AH317" s="17">
        <v>0</v>
      </c>
      <c r="AI317" s="17" t="s">
        <v>53</v>
      </c>
      <c r="AJ317" s="17"/>
      <c r="AK317" s="21"/>
    </row>
    <row r="318" spans="1:37" x14ac:dyDescent="0.25">
      <c r="A318" s="12" t="s">
        <v>411</v>
      </c>
      <c r="B318" s="12">
        <v>73</v>
      </c>
      <c r="C318" s="12">
        <v>13.6</v>
      </c>
      <c r="D318" s="27">
        <v>42440</v>
      </c>
      <c r="E318" s="14">
        <f>[1]!Tabela1[[#This Row],[PSA]]/[1]!Tabela1[[#This Row],[MRI vol]]</f>
        <v>0.24727272727272726</v>
      </c>
      <c r="F318" s="12"/>
      <c r="G318" s="12"/>
      <c r="H318" s="12">
        <v>55</v>
      </c>
      <c r="I318" s="12">
        <v>2</v>
      </c>
      <c r="J318" s="12"/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2"/>
      <c r="R318" s="15">
        <v>1</v>
      </c>
      <c r="S318" s="12"/>
      <c r="T318" s="12"/>
      <c r="U318" s="15">
        <v>1</v>
      </c>
      <c r="V318" s="12"/>
      <c r="W318" s="12"/>
      <c r="X318" s="12">
        <v>1</v>
      </c>
      <c r="Y318" s="12">
        <v>1</v>
      </c>
      <c r="Z318" s="12">
        <v>1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 t="s">
        <v>53</v>
      </c>
      <c r="AJ318" s="12"/>
      <c r="AK318" s="16"/>
    </row>
    <row r="319" spans="1:37" x14ac:dyDescent="0.25">
      <c r="A319" s="17" t="s">
        <v>412</v>
      </c>
      <c r="B319" s="17">
        <v>57</v>
      </c>
      <c r="C319" s="17">
        <v>58.5</v>
      </c>
      <c r="D319" s="28">
        <v>42429</v>
      </c>
      <c r="E319" s="19">
        <f>[1]!Tabela1[[#This Row],[PSA]]/[1]!Tabela1[[#This Row],[MRI vol]]</f>
        <v>1.6714285714285715</v>
      </c>
      <c r="F319" s="17"/>
      <c r="G319" s="17"/>
      <c r="H319" s="17">
        <v>35</v>
      </c>
      <c r="I319" s="17">
        <v>5</v>
      </c>
      <c r="J319" s="17"/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23</v>
      </c>
      <c r="R319" s="20">
        <v>5</v>
      </c>
      <c r="S319" s="17"/>
      <c r="T319" s="17"/>
      <c r="U319" s="20">
        <v>4</v>
      </c>
      <c r="V319" s="17"/>
      <c r="W319" s="17"/>
      <c r="X319" s="17">
        <v>3</v>
      </c>
      <c r="Y319" s="17">
        <v>3</v>
      </c>
      <c r="Z319" s="17">
        <v>3</v>
      </c>
      <c r="AA319" s="17">
        <v>0</v>
      </c>
      <c r="AB319" s="17">
        <v>1</v>
      </c>
      <c r="AC319" s="17">
        <v>1</v>
      </c>
      <c r="AD319" s="17">
        <v>1</v>
      </c>
      <c r="AE319" s="17">
        <v>1</v>
      </c>
      <c r="AF319" s="17">
        <v>0</v>
      </c>
      <c r="AG319" s="17">
        <v>0</v>
      </c>
      <c r="AH319" s="17">
        <v>0</v>
      </c>
      <c r="AI319" s="17" t="s">
        <v>47</v>
      </c>
      <c r="AJ319" s="17"/>
      <c r="AK319" s="21"/>
    </row>
    <row r="320" spans="1:37" x14ac:dyDescent="0.25">
      <c r="A320" s="12" t="s">
        <v>413</v>
      </c>
      <c r="B320" s="12">
        <v>69</v>
      </c>
      <c r="C320" s="12">
        <v>15.9</v>
      </c>
      <c r="D320" s="27">
        <v>43346</v>
      </c>
      <c r="E320" s="14">
        <f>[1]!Tabela1[[#This Row],[PSA]]/[1]!Tabela1[[#This Row],[MRI vol]]</f>
        <v>0.56785714285714284</v>
      </c>
      <c r="F320" s="12"/>
      <c r="G320" s="12"/>
      <c r="H320" s="12">
        <v>28</v>
      </c>
      <c r="I320" s="12">
        <v>5</v>
      </c>
      <c r="J320" s="12"/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17</v>
      </c>
      <c r="R320" s="15">
        <v>1</v>
      </c>
      <c r="S320" s="12"/>
      <c r="T320" s="12"/>
      <c r="U320" s="15">
        <v>3</v>
      </c>
      <c r="V320" s="12"/>
      <c r="W320" s="12"/>
      <c r="X320" s="12">
        <v>3</v>
      </c>
      <c r="Y320" s="12">
        <v>3</v>
      </c>
      <c r="Z320" s="12">
        <v>3</v>
      </c>
      <c r="AA320" s="12">
        <v>0</v>
      </c>
      <c r="AB320" s="12">
        <v>0</v>
      </c>
      <c r="AC320" s="12">
        <v>1</v>
      </c>
      <c r="AD320" s="12">
        <v>1</v>
      </c>
      <c r="AE320" s="12">
        <v>0</v>
      </c>
      <c r="AF320" s="12">
        <v>0</v>
      </c>
      <c r="AG320" s="12">
        <v>0</v>
      </c>
      <c r="AH320" s="12">
        <v>0</v>
      </c>
      <c r="AI320" s="12" t="s">
        <v>47</v>
      </c>
      <c r="AJ320" s="12"/>
      <c r="AK320" s="16"/>
    </row>
    <row r="321" spans="1:37" x14ac:dyDescent="0.25">
      <c r="A321" s="17" t="s">
        <v>414</v>
      </c>
      <c r="B321" s="17">
        <v>73</v>
      </c>
      <c r="C321" s="17">
        <v>7.8</v>
      </c>
      <c r="D321" s="28">
        <v>42886</v>
      </c>
      <c r="E321" s="19">
        <f>[1]!Tabela1[[#This Row],[PSA]]/[1]!Tabela1[[#This Row],[MRI vol]]</f>
        <v>0.15</v>
      </c>
      <c r="F321" s="17"/>
      <c r="G321" s="17"/>
      <c r="H321" s="17">
        <v>52</v>
      </c>
      <c r="I321" s="17">
        <v>5</v>
      </c>
      <c r="J321" s="17"/>
      <c r="K321" s="20">
        <v>1</v>
      </c>
      <c r="L321" s="20">
        <v>1</v>
      </c>
      <c r="M321" s="20">
        <v>0</v>
      </c>
      <c r="N321" s="20">
        <v>0</v>
      </c>
      <c r="O321" s="20">
        <v>0</v>
      </c>
      <c r="P321" s="20">
        <v>0</v>
      </c>
      <c r="Q321" s="20">
        <v>8</v>
      </c>
      <c r="R321" s="20">
        <v>0</v>
      </c>
      <c r="S321" s="17"/>
      <c r="T321" s="17"/>
      <c r="U321" s="20">
        <v>1</v>
      </c>
      <c r="V321" s="17"/>
      <c r="W321" s="17"/>
      <c r="X321" s="17">
        <v>2</v>
      </c>
      <c r="Y321" s="17">
        <v>2</v>
      </c>
      <c r="Z321" s="17">
        <v>2</v>
      </c>
      <c r="AA321" s="17">
        <v>0</v>
      </c>
      <c r="AB321" s="17">
        <v>0</v>
      </c>
      <c r="AC321" s="17">
        <v>0</v>
      </c>
      <c r="AD321" s="17">
        <v>0</v>
      </c>
      <c r="AE321" s="17">
        <v>0</v>
      </c>
      <c r="AF321" s="17">
        <v>0</v>
      </c>
      <c r="AG321" s="17">
        <v>0</v>
      </c>
      <c r="AH321" s="17">
        <v>0</v>
      </c>
      <c r="AI321" s="17" t="s">
        <v>53</v>
      </c>
      <c r="AJ321" s="17"/>
      <c r="AK321" s="21"/>
    </row>
    <row r="322" spans="1:37" x14ac:dyDescent="0.25">
      <c r="A322" s="12" t="s">
        <v>415</v>
      </c>
      <c r="B322" s="12">
        <v>60</v>
      </c>
      <c r="C322" s="12">
        <v>8</v>
      </c>
      <c r="D322" s="27">
        <v>42642</v>
      </c>
      <c r="E322" s="14">
        <f>[1]!Tabela1[[#This Row],[PSA]]/[1]!Tabela1[[#This Row],[MRI vol]]</f>
        <v>0.42105263157894735</v>
      </c>
      <c r="F322" s="12"/>
      <c r="G322" s="12"/>
      <c r="H322" s="12">
        <v>19</v>
      </c>
      <c r="I322" s="12">
        <v>4</v>
      </c>
      <c r="J322" s="12"/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11</v>
      </c>
      <c r="R322" s="12"/>
      <c r="S322" s="12"/>
      <c r="T322" s="12"/>
      <c r="U322" s="12"/>
      <c r="V322" s="12"/>
      <c r="W322" s="12"/>
      <c r="X322" s="12">
        <v>2</v>
      </c>
      <c r="Y322" s="12">
        <v>2</v>
      </c>
      <c r="Z322" s="12">
        <v>2</v>
      </c>
      <c r="AA322" s="12">
        <v>1</v>
      </c>
      <c r="AB322" s="12">
        <v>0</v>
      </c>
      <c r="AC322" s="12">
        <v>1</v>
      </c>
      <c r="AD322" s="12">
        <v>0</v>
      </c>
      <c r="AE322" s="12">
        <v>1</v>
      </c>
      <c r="AF322" s="12">
        <v>0</v>
      </c>
      <c r="AG322" s="12">
        <v>0</v>
      </c>
      <c r="AH322" s="12">
        <v>0</v>
      </c>
      <c r="AI322" s="12" t="s">
        <v>47</v>
      </c>
      <c r="AJ322" s="12"/>
      <c r="AK322" s="16"/>
    </row>
    <row r="323" spans="1:37" x14ac:dyDescent="0.25">
      <c r="A323" s="17" t="s">
        <v>416</v>
      </c>
      <c r="B323" s="17">
        <v>62</v>
      </c>
      <c r="C323" s="17">
        <v>10.4</v>
      </c>
      <c r="D323" s="28">
        <v>42670</v>
      </c>
      <c r="E323" s="19">
        <f>[1]!Tabela1[[#This Row],[PSA]]/[1]!Tabela1[[#This Row],[MRI vol]]</f>
        <v>0.14647887323943662</v>
      </c>
      <c r="F323" s="17"/>
      <c r="G323" s="17"/>
      <c r="H323" s="17">
        <v>71</v>
      </c>
      <c r="I323" s="17">
        <v>3</v>
      </c>
      <c r="J323" s="17"/>
      <c r="K323" s="20">
        <v>0</v>
      </c>
      <c r="L323" s="17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11</v>
      </c>
      <c r="R323" s="20">
        <v>1</v>
      </c>
      <c r="S323" s="17"/>
      <c r="T323" s="17"/>
      <c r="U323" s="20">
        <v>1</v>
      </c>
      <c r="V323" s="17"/>
      <c r="W323" s="17"/>
      <c r="X323" s="17">
        <v>1</v>
      </c>
      <c r="Y323" s="17">
        <v>1</v>
      </c>
      <c r="Z323" s="17">
        <v>1</v>
      </c>
      <c r="AA323" s="17">
        <v>0</v>
      </c>
      <c r="AB323" s="17">
        <v>0</v>
      </c>
      <c r="AC323" s="17">
        <v>0</v>
      </c>
      <c r="AD323" s="17">
        <v>0</v>
      </c>
      <c r="AE323" s="17">
        <v>0</v>
      </c>
      <c r="AF323" s="17">
        <v>0</v>
      </c>
      <c r="AG323" s="17">
        <v>0</v>
      </c>
      <c r="AH323" s="17">
        <v>0</v>
      </c>
      <c r="AI323" s="17" t="s">
        <v>53</v>
      </c>
      <c r="AJ323" s="17"/>
      <c r="AK323" s="21"/>
    </row>
    <row r="324" spans="1:37" x14ac:dyDescent="0.25">
      <c r="A324" s="12" t="s">
        <v>417</v>
      </c>
      <c r="B324" s="12">
        <v>63</v>
      </c>
      <c r="C324" s="12">
        <v>6.4</v>
      </c>
      <c r="D324" s="27">
        <v>43362</v>
      </c>
      <c r="E324" s="14">
        <f>[1]!Tabela1[[#This Row],[PSA]]/[1]!Tabela1[[#This Row],[MRI vol]]</f>
        <v>0.23703703703703705</v>
      </c>
      <c r="F324" s="12"/>
      <c r="G324" s="12"/>
      <c r="H324" s="12">
        <v>27</v>
      </c>
      <c r="I324" s="12">
        <v>4</v>
      </c>
      <c r="J324" s="12"/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14</v>
      </c>
      <c r="R324" s="15">
        <v>1</v>
      </c>
      <c r="S324" s="12"/>
      <c r="T324" s="12"/>
      <c r="U324" s="15">
        <v>1</v>
      </c>
      <c r="V324" s="12"/>
      <c r="W324" s="12"/>
      <c r="X324" s="12">
        <v>2</v>
      </c>
      <c r="Y324" s="12">
        <v>2</v>
      </c>
      <c r="Z324" s="12">
        <v>2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 t="s">
        <v>53</v>
      </c>
      <c r="AJ324" s="12"/>
      <c r="AK324" s="16"/>
    </row>
    <row r="325" spans="1:37" x14ac:dyDescent="0.25">
      <c r="A325" s="17" t="s">
        <v>418</v>
      </c>
      <c r="B325" s="17">
        <v>71</v>
      </c>
      <c r="C325" s="17">
        <v>8.5</v>
      </c>
      <c r="D325" s="28">
        <v>43104</v>
      </c>
      <c r="E325" s="19">
        <f>[1]!Tabela1[[#This Row],[PSA]]/[1]!Tabela1[[#This Row],[MRI vol]]</f>
        <v>0.32692307692307693</v>
      </c>
      <c r="F325" s="17"/>
      <c r="G325" s="17"/>
      <c r="H325" s="17">
        <v>26</v>
      </c>
      <c r="I325" s="17">
        <v>3</v>
      </c>
      <c r="J325" s="17"/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8</v>
      </c>
      <c r="R325" s="20">
        <v>2</v>
      </c>
      <c r="S325" s="17"/>
      <c r="T325" s="17"/>
      <c r="U325" s="20">
        <v>2</v>
      </c>
      <c r="V325" s="17"/>
      <c r="W325" s="17"/>
      <c r="X325" s="17">
        <v>1</v>
      </c>
      <c r="Y325" s="17">
        <v>1</v>
      </c>
      <c r="Z325" s="17">
        <v>1</v>
      </c>
      <c r="AA325" s="17">
        <v>0</v>
      </c>
      <c r="AB325" s="17">
        <v>0</v>
      </c>
      <c r="AC325" s="17">
        <v>0</v>
      </c>
      <c r="AD325" s="17">
        <v>0</v>
      </c>
      <c r="AE325" s="17">
        <v>0</v>
      </c>
      <c r="AF325" s="17">
        <v>0</v>
      </c>
      <c r="AG325" s="17">
        <v>0</v>
      </c>
      <c r="AH325" s="17">
        <v>0</v>
      </c>
      <c r="AI325" s="17" t="s">
        <v>53</v>
      </c>
      <c r="AJ325" s="17"/>
      <c r="AK325" s="21"/>
    </row>
    <row r="326" spans="1:37" x14ac:dyDescent="0.25">
      <c r="A326" s="12" t="s">
        <v>419</v>
      </c>
      <c r="B326" s="12">
        <v>59</v>
      </c>
      <c r="C326" s="12">
        <v>7.5</v>
      </c>
      <c r="D326" s="27">
        <v>44004</v>
      </c>
      <c r="E326" s="14">
        <f>[1]!Tabela1[[#This Row],[PSA]]/[1]!Tabela1[[#This Row],[MRI vol]]</f>
        <v>0.11194029850746269</v>
      </c>
      <c r="F326" s="12"/>
      <c r="G326" s="12"/>
      <c r="H326" s="12">
        <v>67</v>
      </c>
      <c r="I326" s="12">
        <v>4</v>
      </c>
      <c r="J326" s="12"/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5</v>
      </c>
      <c r="R326" s="12"/>
      <c r="S326" s="12"/>
      <c r="T326" s="12"/>
      <c r="U326" s="12"/>
      <c r="V326" s="12"/>
      <c r="W326" s="12"/>
      <c r="X326" s="12">
        <v>1</v>
      </c>
      <c r="Y326" s="12">
        <v>1</v>
      </c>
      <c r="Z326" s="12">
        <v>1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 t="s">
        <v>53</v>
      </c>
      <c r="AJ326" s="12"/>
      <c r="AK326" s="16"/>
    </row>
    <row r="327" spans="1:37" x14ac:dyDescent="0.25">
      <c r="A327" s="17" t="s">
        <v>420</v>
      </c>
      <c r="B327" s="17">
        <v>55</v>
      </c>
      <c r="C327" s="17">
        <v>8</v>
      </c>
      <c r="D327" s="28">
        <v>42921</v>
      </c>
      <c r="E327" s="19">
        <f>[1]!Tabela1[[#This Row],[PSA]]/[1]!Tabela1[[#This Row],[MRI vol]]</f>
        <v>0.27586206896551724</v>
      </c>
      <c r="F327" s="17"/>
      <c r="G327" s="17"/>
      <c r="H327" s="17">
        <v>29</v>
      </c>
      <c r="I327" s="17">
        <v>4</v>
      </c>
      <c r="J327" s="17"/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11</v>
      </c>
      <c r="R327" s="20">
        <v>1</v>
      </c>
      <c r="S327" s="17"/>
      <c r="T327" s="17"/>
      <c r="U327" s="20">
        <v>0</v>
      </c>
      <c r="V327" s="17"/>
      <c r="W327" s="17"/>
      <c r="X327" s="17">
        <v>2</v>
      </c>
      <c r="Y327" s="17">
        <v>2</v>
      </c>
      <c r="Z327" s="17">
        <v>2</v>
      </c>
      <c r="AA327" s="17">
        <v>0</v>
      </c>
      <c r="AB327" s="17">
        <v>0</v>
      </c>
      <c r="AC327" s="17">
        <v>0</v>
      </c>
      <c r="AD327" s="17">
        <v>0</v>
      </c>
      <c r="AE327" s="17">
        <v>0</v>
      </c>
      <c r="AF327" s="17">
        <v>0</v>
      </c>
      <c r="AG327" s="17">
        <v>0</v>
      </c>
      <c r="AH327" s="17">
        <v>0</v>
      </c>
      <c r="AI327" s="17" t="s">
        <v>53</v>
      </c>
      <c r="AJ327" s="17"/>
      <c r="AK327" s="21"/>
    </row>
    <row r="328" spans="1:37" x14ac:dyDescent="0.25">
      <c r="A328" s="12" t="s">
        <v>421</v>
      </c>
      <c r="B328" s="12">
        <v>64</v>
      </c>
      <c r="C328" s="12">
        <v>2.6</v>
      </c>
      <c r="D328" s="27">
        <v>44144</v>
      </c>
      <c r="E328" s="14">
        <f>[1]!Tabela1[[#This Row],[PSA]]/[1]!Tabela1[[#This Row],[MRI vol]]</f>
        <v>5.7777777777777782E-2</v>
      </c>
      <c r="F328" s="12"/>
      <c r="G328" s="12"/>
      <c r="H328" s="12">
        <v>45</v>
      </c>
      <c r="I328" s="12">
        <v>5</v>
      </c>
      <c r="J328" s="12"/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30</v>
      </c>
      <c r="R328" s="15">
        <v>2</v>
      </c>
      <c r="S328" s="12"/>
      <c r="T328" s="12"/>
      <c r="U328" s="15">
        <v>0</v>
      </c>
      <c r="V328" s="12"/>
      <c r="W328" s="12"/>
      <c r="X328" s="12">
        <v>3</v>
      </c>
      <c r="Y328" s="12">
        <v>3</v>
      </c>
      <c r="Z328" s="12">
        <v>3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 t="s">
        <v>53</v>
      </c>
      <c r="AJ328" s="12"/>
      <c r="AK328" s="16"/>
    </row>
    <row r="329" spans="1:37" x14ac:dyDescent="0.25">
      <c r="A329" s="17" t="s">
        <v>422</v>
      </c>
      <c r="B329" s="17">
        <v>65</v>
      </c>
      <c r="C329" s="17">
        <v>13</v>
      </c>
      <c r="D329" s="28">
        <v>42649</v>
      </c>
      <c r="E329" s="19">
        <f>[1]!Tabela1[[#This Row],[PSA]]/[1]!Tabela1[[#This Row],[MRI vol]]</f>
        <v>0.48148148148148145</v>
      </c>
      <c r="F329" s="17"/>
      <c r="G329" s="17"/>
      <c r="H329" s="17">
        <v>27</v>
      </c>
      <c r="I329" s="17">
        <v>3</v>
      </c>
      <c r="J329" s="17"/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6</v>
      </c>
      <c r="R329" s="20">
        <v>0</v>
      </c>
      <c r="S329" s="17"/>
      <c r="T329" s="17"/>
      <c r="U329" s="20">
        <v>1</v>
      </c>
      <c r="V329" s="17"/>
      <c r="W329" s="17"/>
      <c r="X329" s="17">
        <v>1</v>
      </c>
      <c r="Y329" s="17">
        <v>1</v>
      </c>
      <c r="Z329" s="17">
        <v>1</v>
      </c>
      <c r="AA329" s="17">
        <v>0</v>
      </c>
      <c r="AB329" s="17">
        <v>0</v>
      </c>
      <c r="AC329" s="17">
        <v>0</v>
      </c>
      <c r="AD329" s="17">
        <v>0</v>
      </c>
      <c r="AE329" s="17">
        <v>0</v>
      </c>
      <c r="AF329" s="17">
        <v>0</v>
      </c>
      <c r="AG329" s="17">
        <v>0</v>
      </c>
      <c r="AH329" s="17">
        <v>0</v>
      </c>
      <c r="AI329" s="17" t="s">
        <v>53</v>
      </c>
      <c r="AJ329" s="17"/>
      <c r="AK329" s="21"/>
    </row>
    <row r="330" spans="1:37" x14ac:dyDescent="0.25">
      <c r="A330" s="12" t="s">
        <v>423</v>
      </c>
      <c r="B330" s="12">
        <v>67</v>
      </c>
      <c r="C330" s="12">
        <v>69</v>
      </c>
      <c r="D330" s="27">
        <v>43160</v>
      </c>
      <c r="E330" s="14">
        <f>[1]!Tabela1[[#This Row],[PSA]]/[1]!Tabela1[[#This Row],[MRI vol]]</f>
        <v>1.0147058823529411</v>
      </c>
      <c r="F330" s="12"/>
      <c r="G330" s="12"/>
      <c r="H330" s="12">
        <v>68</v>
      </c>
      <c r="I330" s="12">
        <v>5</v>
      </c>
      <c r="J330" s="12"/>
      <c r="K330" s="15">
        <v>1</v>
      </c>
      <c r="L330" s="15">
        <v>0</v>
      </c>
      <c r="M330" s="15">
        <v>1</v>
      </c>
      <c r="N330" s="15">
        <v>0</v>
      </c>
      <c r="O330" s="15">
        <v>0</v>
      </c>
      <c r="P330" s="15">
        <v>0</v>
      </c>
      <c r="Q330" s="15">
        <v>25</v>
      </c>
      <c r="R330" s="15">
        <v>5</v>
      </c>
      <c r="S330" s="12"/>
      <c r="T330" s="12"/>
      <c r="U330" s="15">
        <v>5</v>
      </c>
      <c r="V330" s="12"/>
      <c r="W330" s="12"/>
      <c r="X330" s="12">
        <v>5</v>
      </c>
      <c r="Y330" s="12">
        <v>5</v>
      </c>
      <c r="Z330" s="12">
        <v>5</v>
      </c>
      <c r="AA330" s="12">
        <v>1</v>
      </c>
      <c r="AB330" s="12">
        <v>1</v>
      </c>
      <c r="AC330" s="12">
        <v>1</v>
      </c>
      <c r="AD330" s="12">
        <v>1</v>
      </c>
      <c r="AE330" s="12">
        <v>1</v>
      </c>
      <c r="AF330" s="12">
        <v>1</v>
      </c>
      <c r="AG330" s="12">
        <v>1</v>
      </c>
      <c r="AH330" s="12">
        <v>1</v>
      </c>
      <c r="AI330" s="12" t="s">
        <v>56</v>
      </c>
      <c r="AJ330" s="12"/>
      <c r="AK330" s="16"/>
    </row>
    <row r="331" spans="1:37" x14ac:dyDescent="0.25">
      <c r="A331" s="17" t="s">
        <v>424</v>
      </c>
      <c r="B331" s="17">
        <v>67</v>
      </c>
      <c r="C331" s="17">
        <v>8.3000000000000007</v>
      </c>
      <c r="D331" s="28">
        <v>43097</v>
      </c>
      <c r="E331" s="19">
        <f>[1]!Tabela1[[#This Row],[PSA]]/[1]!Tabela1[[#This Row],[MRI vol]]</f>
        <v>0.23714285714285716</v>
      </c>
      <c r="F331" s="17"/>
      <c r="G331" s="17"/>
      <c r="H331" s="17">
        <v>35</v>
      </c>
      <c r="I331" s="17">
        <v>4</v>
      </c>
      <c r="J331" s="17"/>
      <c r="K331" s="20">
        <v>1</v>
      </c>
      <c r="L331" s="20">
        <v>1</v>
      </c>
      <c r="M331" s="20">
        <v>1</v>
      </c>
      <c r="N331" s="20">
        <v>0</v>
      </c>
      <c r="O331" s="20">
        <v>0</v>
      </c>
      <c r="P331" s="20">
        <v>0</v>
      </c>
      <c r="Q331" s="20">
        <v>17</v>
      </c>
      <c r="R331" s="20">
        <v>1</v>
      </c>
      <c r="S331" s="17"/>
      <c r="T331" s="17"/>
      <c r="U331" s="20">
        <v>1</v>
      </c>
      <c r="V331" s="17"/>
      <c r="W331" s="17"/>
      <c r="X331" s="17">
        <v>2</v>
      </c>
      <c r="Y331" s="17">
        <v>1</v>
      </c>
      <c r="Z331" s="17">
        <v>2</v>
      </c>
      <c r="AA331" s="17">
        <v>0</v>
      </c>
      <c r="AB331" s="17">
        <v>0</v>
      </c>
      <c r="AC331" s="17">
        <v>0</v>
      </c>
      <c r="AD331" s="17">
        <v>0</v>
      </c>
      <c r="AE331" s="17">
        <v>0</v>
      </c>
      <c r="AF331" s="17">
        <v>0</v>
      </c>
      <c r="AG331" s="17">
        <v>0</v>
      </c>
      <c r="AH331" s="17">
        <v>0</v>
      </c>
      <c r="AI331" s="17" t="s">
        <v>53</v>
      </c>
      <c r="AJ331" s="17"/>
      <c r="AK331" s="21"/>
    </row>
    <row r="332" spans="1:37" x14ac:dyDescent="0.25">
      <c r="A332" s="12" t="s">
        <v>425</v>
      </c>
      <c r="B332" s="12">
        <v>68</v>
      </c>
      <c r="C332" s="12"/>
      <c r="D332" s="27">
        <v>43398</v>
      </c>
      <c r="E332" s="14">
        <f>[1]!Tabela1[[#This Row],[PSA]]/[1]!Tabela1[[#This Row],[MRI vol]]</f>
        <v>0</v>
      </c>
      <c r="F332" s="12"/>
      <c r="G332" s="12"/>
      <c r="H332" s="12">
        <v>60</v>
      </c>
      <c r="I332" s="12">
        <v>4</v>
      </c>
      <c r="J332" s="12"/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7</v>
      </c>
      <c r="R332" s="15">
        <v>4</v>
      </c>
      <c r="S332" s="12"/>
      <c r="T332" s="12"/>
      <c r="U332" s="15">
        <v>2</v>
      </c>
      <c r="V332" s="12"/>
      <c r="W332" s="12"/>
      <c r="X332" s="12">
        <v>3</v>
      </c>
      <c r="Y332" s="12">
        <v>2</v>
      </c>
      <c r="Z332" s="12">
        <v>3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 t="s">
        <v>53</v>
      </c>
      <c r="AJ332" s="12"/>
      <c r="AK332" s="16"/>
    </row>
    <row r="333" spans="1:37" x14ac:dyDescent="0.25">
      <c r="A333" s="17" t="s">
        <v>426</v>
      </c>
      <c r="B333" s="17">
        <v>67</v>
      </c>
      <c r="C333" s="17">
        <v>9.3000000000000007</v>
      </c>
      <c r="D333" s="28">
        <v>44049</v>
      </c>
      <c r="E333" s="19">
        <f>[1]!Tabela1[[#This Row],[PSA]]/[1]!Tabela1[[#This Row],[MRI vol]]</f>
        <v>0.18235294117647061</v>
      </c>
      <c r="F333" s="17"/>
      <c r="G333" s="17"/>
      <c r="H333" s="17">
        <v>51</v>
      </c>
      <c r="I333" s="17">
        <v>5</v>
      </c>
      <c r="J333" s="17"/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16</v>
      </c>
      <c r="R333" s="20">
        <v>0</v>
      </c>
      <c r="S333" s="17"/>
      <c r="T333" s="17"/>
      <c r="U333" s="20">
        <v>1</v>
      </c>
      <c r="V333" s="17"/>
      <c r="W333" s="17"/>
      <c r="X333" s="17">
        <v>4</v>
      </c>
      <c r="Y333" s="17">
        <v>2</v>
      </c>
      <c r="Z333" s="17">
        <v>4</v>
      </c>
      <c r="AA333" s="17">
        <v>0</v>
      </c>
      <c r="AB333" s="17">
        <v>0</v>
      </c>
      <c r="AC333" s="17">
        <v>0</v>
      </c>
      <c r="AD333" s="17">
        <v>0</v>
      </c>
      <c r="AE333" s="17">
        <v>0</v>
      </c>
      <c r="AF333" s="17">
        <v>0</v>
      </c>
      <c r="AG333" s="17">
        <v>0</v>
      </c>
      <c r="AH333" s="17">
        <v>0</v>
      </c>
      <c r="AI333" s="17" t="s">
        <v>53</v>
      </c>
      <c r="AJ333" s="17"/>
      <c r="AK333" s="21"/>
    </row>
    <row r="334" spans="1:37" x14ac:dyDescent="0.25">
      <c r="A334" s="12" t="s">
        <v>427</v>
      </c>
      <c r="B334" s="12">
        <v>64</v>
      </c>
      <c r="C334" s="12">
        <v>9</v>
      </c>
      <c r="D334" s="27">
        <v>44154</v>
      </c>
      <c r="E334" s="14">
        <f>[1]!Tabela1[[#This Row],[PSA]]/[1]!Tabela1[[#This Row],[MRI vol]]</f>
        <v>0.14754098360655737</v>
      </c>
      <c r="F334" s="12"/>
      <c r="G334" s="12"/>
      <c r="H334" s="12">
        <v>61</v>
      </c>
      <c r="I334" s="12">
        <v>5</v>
      </c>
      <c r="J334" s="12"/>
      <c r="K334" s="15">
        <v>1</v>
      </c>
      <c r="L334" s="15">
        <v>1</v>
      </c>
      <c r="M334" s="15">
        <v>0</v>
      </c>
      <c r="N334" s="15">
        <v>0</v>
      </c>
      <c r="O334" s="15">
        <v>0</v>
      </c>
      <c r="P334" s="15">
        <v>0</v>
      </c>
      <c r="Q334" s="15">
        <v>19</v>
      </c>
      <c r="R334" s="15">
        <v>0</v>
      </c>
      <c r="S334" s="12"/>
      <c r="T334" s="12"/>
      <c r="U334" s="15">
        <v>2</v>
      </c>
      <c r="V334" s="12"/>
      <c r="W334" s="12"/>
      <c r="X334" s="12">
        <v>2</v>
      </c>
      <c r="Y334" s="12">
        <v>1</v>
      </c>
      <c r="Z334" s="12">
        <v>2</v>
      </c>
      <c r="AA334" s="12">
        <v>0</v>
      </c>
      <c r="AB334" s="12">
        <v>0</v>
      </c>
      <c r="AC334" s="12">
        <v>1</v>
      </c>
      <c r="AD334" s="12">
        <v>1</v>
      </c>
      <c r="AE334" s="12">
        <v>0</v>
      </c>
      <c r="AF334" s="12">
        <v>0</v>
      </c>
      <c r="AG334" s="12">
        <v>0</v>
      </c>
      <c r="AH334" s="12">
        <v>0</v>
      </c>
      <c r="AI334" s="12" t="s">
        <v>47</v>
      </c>
      <c r="AJ334" s="12"/>
      <c r="AK334" s="16"/>
    </row>
    <row r="335" spans="1:37" x14ac:dyDescent="0.25">
      <c r="A335" s="17" t="s">
        <v>428</v>
      </c>
      <c r="B335" s="17">
        <v>60</v>
      </c>
      <c r="C335" s="17">
        <v>26.2</v>
      </c>
      <c r="D335" s="28">
        <v>42536</v>
      </c>
      <c r="E335" s="19">
        <f>[1]!Tabela1[[#This Row],[PSA]]/[1]!Tabela1[[#This Row],[MRI vol]]</f>
        <v>1.1909090909090909</v>
      </c>
      <c r="F335" s="17"/>
      <c r="G335" s="17"/>
      <c r="H335" s="17">
        <v>22</v>
      </c>
      <c r="I335" s="17">
        <v>4</v>
      </c>
      <c r="J335" s="17"/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10</v>
      </c>
      <c r="R335" s="20">
        <v>0</v>
      </c>
      <c r="S335" s="17"/>
      <c r="T335" s="17"/>
      <c r="U335" s="20">
        <v>1</v>
      </c>
      <c r="V335" s="17"/>
      <c r="W335" s="17"/>
      <c r="X335" s="17">
        <v>3</v>
      </c>
      <c r="Y335" s="17">
        <v>3</v>
      </c>
      <c r="Z335" s="17">
        <v>3</v>
      </c>
      <c r="AA335" s="17">
        <v>0</v>
      </c>
      <c r="AB335" s="17">
        <v>0</v>
      </c>
      <c r="AC335" s="17">
        <v>1</v>
      </c>
      <c r="AD335" s="17">
        <v>1</v>
      </c>
      <c r="AE335" s="17">
        <v>0</v>
      </c>
      <c r="AF335" s="17">
        <v>1</v>
      </c>
      <c r="AG335" s="17">
        <v>1</v>
      </c>
      <c r="AH335" s="17">
        <v>1</v>
      </c>
      <c r="AI335" s="17" t="s">
        <v>72</v>
      </c>
      <c r="AJ335" s="17"/>
      <c r="AK335" s="21"/>
    </row>
    <row r="336" spans="1:37" x14ac:dyDescent="0.25">
      <c r="A336" s="12" t="s">
        <v>429</v>
      </c>
      <c r="B336" s="12">
        <v>62</v>
      </c>
      <c r="C336" s="12">
        <v>29.9</v>
      </c>
      <c r="D336" s="27">
        <v>43354</v>
      </c>
      <c r="E336" s="14">
        <f>[1]!Tabela1[[#This Row],[PSA]]/[1]!Tabela1[[#This Row],[MRI vol]]</f>
        <v>0.57499999999999996</v>
      </c>
      <c r="F336" s="12"/>
      <c r="G336" s="12"/>
      <c r="H336" s="12">
        <v>52</v>
      </c>
      <c r="I336" s="12">
        <v>5</v>
      </c>
      <c r="J336" s="12"/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22</v>
      </c>
      <c r="R336" s="15">
        <v>4</v>
      </c>
      <c r="S336" s="12"/>
      <c r="T336" s="12"/>
      <c r="U336" s="15">
        <v>4</v>
      </c>
      <c r="V336" s="12"/>
      <c r="W336" s="12"/>
      <c r="X336" s="12">
        <v>3</v>
      </c>
      <c r="Y336" s="12">
        <v>3</v>
      </c>
      <c r="Z336" s="12">
        <v>3</v>
      </c>
      <c r="AA336" s="12">
        <v>1</v>
      </c>
      <c r="AB336" s="12">
        <v>1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 t="s">
        <v>53</v>
      </c>
      <c r="AJ336" s="12"/>
      <c r="AK336" s="16"/>
    </row>
    <row r="337" spans="1:37" x14ac:dyDescent="0.25">
      <c r="A337" s="17" t="s">
        <v>430</v>
      </c>
      <c r="B337" s="17">
        <v>63</v>
      </c>
      <c r="C337" s="17">
        <v>8.5</v>
      </c>
      <c r="D337" s="28">
        <v>42996</v>
      </c>
      <c r="E337" s="19">
        <f>[1]!Tabela1[[#This Row],[PSA]]/[1]!Tabela1[[#This Row],[MRI vol]]</f>
        <v>0.22972972972972974</v>
      </c>
      <c r="F337" s="17"/>
      <c r="G337" s="17"/>
      <c r="H337" s="17">
        <v>37</v>
      </c>
      <c r="I337" s="17">
        <v>5</v>
      </c>
      <c r="J337" s="17"/>
      <c r="K337" s="20">
        <v>1</v>
      </c>
      <c r="L337" s="20">
        <v>1</v>
      </c>
      <c r="M337" s="20">
        <v>0</v>
      </c>
      <c r="N337" s="20">
        <v>0</v>
      </c>
      <c r="O337" s="20">
        <v>0</v>
      </c>
      <c r="P337" s="20">
        <v>0</v>
      </c>
      <c r="Q337" s="20">
        <v>27</v>
      </c>
      <c r="R337" s="20">
        <v>0</v>
      </c>
      <c r="S337" s="17"/>
      <c r="T337" s="17"/>
      <c r="U337" s="20">
        <v>3</v>
      </c>
      <c r="V337" s="17"/>
      <c r="W337" s="17"/>
      <c r="X337" s="17">
        <v>3</v>
      </c>
      <c r="Y337" s="17">
        <v>3</v>
      </c>
      <c r="Z337" s="17">
        <v>3</v>
      </c>
      <c r="AA337" s="17">
        <v>0</v>
      </c>
      <c r="AB337" s="17">
        <v>0</v>
      </c>
      <c r="AC337" s="17">
        <v>0</v>
      </c>
      <c r="AD337" s="17">
        <v>0</v>
      </c>
      <c r="AE337" s="17">
        <v>0</v>
      </c>
      <c r="AF337" s="17">
        <v>0</v>
      </c>
      <c r="AG337" s="17">
        <v>0</v>
      </c>
      <c r="AH337" s="17">
        <v>0</v>
      </c>
      <c r="AI337" s="17" t="s">
        <v>53</v>
      </c>
      <c r="AJ337" s="17"/>
      <c r="AK337" s="21"/>
    </row>
    <row r="338" spans="1:37" x14ac:dyDescent="0.25">
      <c r="A338" s="12" t="s">
        <v>431</v>
      </c>
      <c r="B338" s="12">
        <v>74</v>
      </c>
      <c r="C338" s="12">
        <v>11.5</v>
      </c>
      <c r="D338" s="27">
        <v>43425</v>
      </c>
      <c r="E338" s="14">
        <f>[1]!Tabela1[[#This Row],[PSA]]/[1]!Tabela1[[#This Row],[MRI vol]]</f>
        <v>0.28048780487804881</v>
      </c>
      <c r="F338" s="12"/>
      <c r="G338" s="12"/>
      <c r="H338" s="12">
        <v>41</v>
      </c>
      <c r="I338" s="12">
        <v>5</v>
      </c>
      <c r="J338" s="12"/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20</v>
      </c>
      <c r="R338" s="15">
        <v>5</v>
      </c>
      <c r="S338" s="12"/>
      <c r="T338" s="12"/>
      <c r="U338" s="15">
        <v>4</v>
      </c>
      <c r="V338" s="12"/>
      <c r="W338" s="12"/>
      <c r="X338" s="12">
        <v>4</v>
      </c>
      <c r="Y338" s="12">
        <v>4</v>
      </c>
      <c r="Z338" s="12">
        <v>4</v>
      </c>
      <c r="AA338" s="12">
        <v>0</v>
      </c>
      <c r="AB338" s="12">
        <v>0</v>
      </c>
      <c r="AC338" s="12">
        <v>1</v>
      </c>
      <c r="AD338" s="12">
        <v>1</v>
      </c>
      <c r="AE338" s="12">
        <v>0</v>
      </c>
      <c r="AF338" s="12">
        <v>0</v>
      </c>
      <c r="AG338" s="12">
        <v>0</v>
      </c>
      <c r="AH338" s="12">
        <v>0</v>
      </c>
      <c r="AI338" s="12" t="s">
        <v>53</v>
      </c>
      <c r="AJ338" s="12"/>
      <c r="AK338" s="16"/>
    </row>
    <row r="339" spans="1:37" x14ac:dyDescent="0.25">
      <c r="A339" s="17" t="s">
        <v>432</v>
      </c>
      <c r="B339" s="17">
        <v>61</v>
      </c>
      <c r="C339" s="17">
        <v>19.8</v>
      </c>
      <c r="D339" s="28">
        <v>42941</v>
      </c>
      <c r="E339" s="19">
        <f>[1]!Tabela1[[#This Row],[PSA]]/[1]!Tabela1[[#This Row],[MRI vol]]</f>
        <v>0.55000000000000004</v>
      </c>
      <c r="F339" s="17"/>
      <c r="G339" s="17"/>
      <c r="H339" s="17">
        <v>36</v>
      </c>
      <c r="I339" s="17">
        <v>3</v>
      </c>
      <c r="J339" s="17"/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10</v>
      </c>
      <c r="R339" s="20">
        <v>2</v>
      </c>
      <c r="S339" s="17"/>
      <c r="T339" s="17"/>
      <c r="U339" s="20">
        <v>2</v>
      </c>
      <c r="V339" s="17"/>
      <c r="W339" s="17"/>
      <c r="X339" s="17">
        <v>2</v>
      </c>
      <c r="Y339" s="17">
        <v>2</v>
      </c>
      <c r="Z339" s="17">
        <v>2</v>
      </c>
      <c r="AA339" s="17">
        <v>1</v>
      </c>
      <c r="AB339" s="17">
        <v>0</v>
      </c>
      <c r="AC339" s="17">
        <v>1</v>
      </c>
      <c r="AD339" s="17"/>
      <c r="AE339" s="17"/>
      <c r="AF339" s="17">
        <v>0</v>
      </c>
      <c r="AG339" s="17">
        <v>0</v>
      </c>
      <c r="AH339" s="17">
        <v>0</v>
      </c>
      <c r="AI339" s="17" t="s">
        <v>47</v>
      </c>
      <c r="AJ339" s="17"/>
      <c r="AK339" s="21"/>
    </row>
    <row r="340" spans="1:37" x14ac:dyDescent="0.25">
      <c r="A340" s="12" t="s">
        <v>433</v>
      </c>
      <c r="B340" s="12">
        <v>61</v>
      </c>
      <c r="C340" s="12">
        <v>4.7</v>
      </c>
      <c r="D340" s="27">
        <v>43402</v>
      </c>
      <c r="E340" s="14">
        <f>[1]!Tabela1[[#This Row],[PSA]]/[1]!Tabela1[[#This Row],[MRI vol]]</f>
        <v>0.17407407407407408</v>
      </c>
      <c r="F340" s="12"/>
      <c r="G340" s="12"/>
      <c r="H340" s="12">
        <v>27</v>
      </c>
      <c r="I340" s="12">
        <v>4</v>
      </c>
      <c r="J340" s="12"/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6</v>
      </c>
      <c r="R340" s="15">
        <v>2</v>
      </c>
      <c r="S340" s="12"/>
      <c r="T340" s="12"/>
      <c r="U340" s="15">
        <v>0</v>
      </c>
      <c r="V340" s="12"/>
      <c r="W340" s="12"/>
      <c r="X340" s="12">
        <v>3</v>
      </c>
      <c r="Y340" s="12">
        <v>3</v>
      </c>
      <c r="Z340" s="12">
        <v>3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 t="s">
        <v>53</v>
      </c>
      <c r="AJ340" s="12"/>
      <c r="AK340" s="16"/>
    </row>
    <row r="341" spans="1:37" x14ac:dyDescent="0.25">
      <c r="A341" s="17" t="s">
        <v>434</v>
      </c>
      <c r="B341" s="17">
        <v>57</v>
      </c>
      <c r="C341" s="17">
        <v>5</v>
      </c>
      <c r="D341" s="28">
        <v>42754</v>
      </c>
      <c r="E341" s="19">
        <f>[1]!Tabela1[[#This Row],[PSA]]/[1]!Tabela1[[#This Row],[MRI vol]]</f>
        <v>0.2</v>
      </c>
      <c r="F341" s="17"/>
      <c r="G341" s="17"/>
      <c r="H341" s="17">
        <v>25</v>
      </c>
      <c r="I341" s="17">
        <v>5</v>
      </c>
      <c r="J341" s="17"/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22</v>
      </c>
      <c r="R341" s="20">
        <v>5</v>
      </c>
      <c r="S341" s="17"/>
      <c r="T341" s="17"/>
      <c r="U341" s="20">
        <v>1</v>
      </c>
      <c r="V341" s="17"/>
      <c r="W341" s="17"/>
      <c r="X341" s="17">
        <v>5</v>
      </c>
      <c r="Y341" s="17">
        <v>5</v>
      </c>
      <c r="Z341" s="17">
        <v>2</v>
      </c>
      <c r="AA341" s="17">
        <v>0</v>
      </c>
      <c r="AB341" s="17">
        <v>0</v>
      </c>
      <c r="AC341" s="17">
        <v>1</v>
      </c>
      <c r="AD341" s="17">
        <v>0</v>
      </c>
      <c r="AE341" s="17">
        <v>1</v>
      </c>
      <c r="AF341" s="17">
        <v>0</v>
      </c>
      <c r="AG341" s="17">
        <v>0</v>
      </c>
      <c r="AH341" s="17">
        <v>0</v>
      </c>
      <c r="AI341" s="17" t="s">
        <v>47</v>
      </c>
      <c r="AJ341" s="17"/>
      <c r="AK341" s="21"/>
    </row>
    <row r="342" spans="1:37" x14ac:dyDescent="0.25">
      <c r="A342" s="12" t="s">
        <v>435</v>
      </c>
      <c r="B342" s="12">
        <v>63</v>
      </c>
      <c r="C342" s="12">
        <v>10</v>
      </c>
      <c r="D342" s="27">
        <v>43006</v>
      </c>
      <c r="E342" s="14">
        <f>[1]!Tabela1[[#This Row],[PSA]]/[1]!Tabela1[[#This Row],[MRI vol]]</f>
        <v>0.43478260869565216</v>
      </c>
      <c r="F342" s="12"/>
      <c r="G342" s="12"/>
      <c r="H342" s="12">
        <v>23</v>
      </c>
      <c r="I342" s="12">
        <v>4</v>
      </c>
      <c r="J342" s="12"/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14</v>
      </c>
      <c r="R342" s="15">
        <v>2</v>
      </c>
      <c r="S342" s="12"/>
      <c r="T342" s="12"/>
      <c r="U342" s="15">
        <v>1</v>
      </c>
      <c r="V342" s="12"/>
      <c r="W342" s="12"/>
      <c r="X342" s="12">
        <v>3</v>
      </c>
      <c r="Y342" s="12">
        <v>2</v>
      </c>
      <c r="Z342" s="12">
        <v>3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 t="s">
        <v>53</v>
      </c>
      <c r="AJ342" s="12"/>
      <c r="AK342" s="16"/>
    </row>
    <row r="343" spans="1:37" x14ac:dyDescent="0.25">
      <c r="A343" s="17" t="s">
        <v>436</v>
      </c>
      <c r="B343" s="17">
        <v>70</v>
      </c>
      <c r="C343" s="17">
        <v>12.1</v>
      </c>
      <c r="D343" s="28">
        <v>42468</v>
      </c>
      <c r="E343" s="19">
        <f>[1]!Tabela1[[#This Row],[PSA]]/[1]!Tabela1[[#This Row],[MRI vol]]</f>
        <v>0.18059701492537314</v>
      </c>
      <c r="F343" s="17"/>
      <c r="G343" s="17"/>
      <c r="H343" s="17">
        <v>67</v>
      </c>
      <c r="I343" s="17">
        <v>5</v>
      </c>
      <c r="J343" s="17"/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13</v>
      </c>
      <c r="R343" s="20">
        <v>1</v>
      </c>
      <c r="S343" s="17"/>
      <c r="T343" s="17"/>
      <c r="U343" s="20">
        <v>5</v>
      </c>
      <c r="V343" s="17"/>
      <c r="W343" s="17"/>
      <c r="X343" s="17">
        <v>2</v>
      </c>
      <c r="Y343" s="17">
        <v>2</v>
      </c>
      <c r="Z343" s="17">
        <v>2</v>
      </c>
      <c r="AA343" s="17">
        <v>0</v>
      </c>
      <c r="AB343" s="17">
        <v>0</v>
      </c>
      <c r="AC343" s="17">
        <v>1</v>
      </c>
      <c r="AD343" s="17">
        <v>1</v>
      </c>
      <c r="AE343" s="17">
        <v>0</v>
      </c>
      <c r="AF343" s="17">
        <v>0</v>
      </c>
      <c r="AG343" s="17">
        <v>0</v>
      </c>
      <c r="AH343" s="17">
        <v>0</v>
      </c>
      <c r="AI343" s="17" t="s">
        <v>47</v>
      </c>
      <c r="AJ343" s="17"/>
      <c r="AK343" s="21"/>
    </row>
    <row r="344" spans="1:37" x14ac:dyDescent="0.25">
      <c r="A344" s="12" t="s">
        <v>437</v>
      </c>
      <c r="B344" s="12">
        <v>71</v>
      </c>
      <c r="C344" s="12">
        <v>49.6</v>
      </c>
      <c r="D344" s="27">
        <v>43475</v>
      </c>
      <c r="E344" s="14">
        <f>[1]!Tabela1[[#This Row],[PSA]]/[1]!Tabela1[[#This Row],[MRI vol]]</f>
        <v>1.6533333333333333</v>
      </c>
      <c r="F344" s="12"/>
      <c r="G344" s="12"/>
      <c r="H344" s="12">
        <v>30</v>
      </c>
      <c r="I344" s="12">
        <v>5</v>
      </c>
      <c r="J344" s="12"/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20</v>
      </c>
      <c r="R344" s="15">
        <v>0</v>
      </c>
      <c r="S344" s="12"/>
      <c r="T344" s="12"/>
      <c r="U344" s="15">
        <v>2</v>
      </c>
      <c r="V344" s="12"/>
      <c r="W344" s="12"/>
      <c r="X344" s="12">
        <v>2</v>
      </c>
      <c r="Y344" s="12">
        <v>2</v>
      </c>
      <c r="Z344" s="12">
        <v>2</v>
      </c>
      <c r="AA344" s="12">
        <v>1</v>
      </c>
      <c r="AB344" s="12">
        <v>0</v>
      </c>
      <c r="AC344" s="12">
        <v>1</v>
      </c>
      <c r="AD344" s="12">
        <v>1</v>
      </c>
      <c r="AE344" s="12">
        <v>1</v>
      </c>
      <c r="AF344" s="12">
        <v>1</v>
      </c>
      <c r="AG344" s="12">
        <v>1</v>
      </c>
      <c r="AH344" s="12">
        <v>1</v>
      </c>
      <c r="AI344" s="12" t="s">
        <v>72</v>
      </c>
      <c r="AJ344" s="12"/>
      <c r="AK344" s="16"/>
    </row>
    <row r="345" spans="1:37" x14ac:dyDescent="0.25">
      <c r="A345" s="17" t="s">
        <v>438</v>
      </c>
      <c r="B345" s="17">
        <v>62</v>
      </c>
      <c r="C345" s="17">
        <v>4.0999999999999996</v>
      </c>
      <c r="D345" s="28">
        <v>43090</v>
      </c>
      <c r="E345" s="19">
        <f>[1]!Tabela1[[#This Row],[PSA]]/[1]!Tabela1[[#This Row],[MRI vol]]</f>
        <v>0.12812499999999999</v>
      </c>
      <c r="F345" s="17"/>
      <c r="G345" s="17"/>
      <c r="H345" s="17">
        <v>32</v>
      </c>
      <c r="I345" s="17">
        <v>4</v>
      </c>
      <c r="J345" s="17"/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10</v>
      </c>
      <c r="R345" s="20">
        <v>0</v>
      </c>
      <c r="S345" s="17"/>
      <c r="T345" s="17"/>
      <c r="U345" s="20">
        <v>1</v>
      </c>
      <c r="V345" s="17"/>
      <c r="W345" s="17"/>
      <c r="X345" s="17">
        <v>2</v>
      </c>
      <c r="Y345" s="17">
        <v>2</v>
      </c>
      <c r="Z345" s="17">
        <v>1</v>
      </c>
      <c r="AA345" s="17">
        <v>0</v>
      </c>
      <c r="AB345" s="17">
        <v>0</v>
      </c>
      <c r="AC345" s="17">
        <v>0</v>
      </c>
      <c r="AD345" s="17">
        <v>0</v>
      </c>
      <c r="AE345" s="17">
        <v>0</v>
      </c>
      <c r="AF345" s="17">
        <v>0</v>
      </c>
      <c r="AG345" s="17">
        <v>0</v>
      </c>
      <c r="AH345" s="17">
        <v>0</v>
      </c>
      <c r="AI345" s="17" t="s">
        <v>53</v>
      </c>
      <c r="AJ345" s="17"/>
      <c r="AK345" s="21"/>
    </row>
    <row r="346" spans="1:37" x14ac:dyDescent="0.25">
      <c r="A346" s="12" t="s">
        <v>439</v>
      </c>
      <c r="B346" s="12">
        <v>65</v>
      </c>
      <c r="C346" s="12">
        <v>7.4</v>
      </c>
      <c r="D346" s="27">
        <v>42270</v>
      </c>
      <c r="E346" s="14">
        <f>[1]!Tabela1[[#This Row],[PSA]]/[1]!Tabela1[[#This Row],[MRI vol]]</f>
        <v>9.4871794871794882E-2</v>
      </c>
      <c r="F346" s="12"/>
      <c r="G346" s="12"/>
      <c r="H346" s="12">
        <v>78</v>
      </c>
      <c r="I346" s="12">
        <v>4</v>
      </c>
      <c r="J346" s="12"/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9</v>
      </c>
      <c r="R346" s="15">
        <v>1</v>
      </c>
      <c r="S346" s="12"/>
      <c r="T346" s="12"/>
      <c r="U346" s="15">
        <v>1</v>
      </c>
      <c r="V346" s="12"/>
      <c r="W346" s="12"/>
      <c r="X346" s="12">
        <v>1</v>
      </c>
      <c r="Y346" s="12">
        <v>1</v>
      </c>
      <c r="Z346" s="12">
        <v>1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 t="s">
        <v>53</v>
      </c>
      <c r="AJ346" s="12"/>
      <c r="AK346" s="16"/>
    </row>
    <row r="347" spans="1:37" x14ac:dyDescent="0.25">
      <c r="A347" s="17" t="s">
        <v>440</v>
      </c>
      <c r="B347" s="17">
        <v>63</v>
      </c>
      <c r="C347" s="17">
        <v>290</v>
      </c>
      <c r="D347" s="28">
        <v>43959</v>
      </c>
      <c r="E347" s="19">
        <f>[1]!Tabela1[[#This Row],[PSA]]/[1]!Tabela1[[#This Row],[MRI vol]]</f>
        <v>2.1014492753623188</v>
      </c>
      <c r="F347" s="17"/>
      <c r="G347" s="17"/>
      <c r="H347" s="17">
        <v>138</v>
      </c>
      <c r="I347" s="17">
        <v>3</v>
      </c>
      <c r="J347" s="17"/>
      <c r="K347" s="20">
        <v>0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17"/>
      <c r="R347" s="17"/>
      <c r="S347" s="17"/>
      <c r="T347" s="17"/>
      <c r="U347" s="17"/>
      <c r="V347" s="17"/>
      <c r="W347" s="17"/>
      <c r="X347" s="17">
        <v>3</v>
      </c>
      <c r="Y347" s="17">
        <v>3</v>
      </c>
      <c r="Z347" s="17">
        <v>3</v>
      </c>
      <c r="AA347" s="17">
        <v>1</v>
      </c>
      <c r="AB347" s="17">
        <v>1</v>
      </c>
      <c r="AC347" s="17">
        <v>1</v>
      </c>
      <c r="AD347" s="17">
        <v>1</v>
      </c>
      <c r="AE347" s="17">
        <v>1</v>
      </c>
      <c r="AF347" s="17">
        <v>1</v>
      </c>
      <c r="AG347" s="17">
        <v>1</v>
      </c>
      <c r="AH347" s="17">
        <v>1</v>
      </c>
      <c r="AI347" s="17" t="s">
        <v>72</v>
      </c>
      <c r="AJ347" s="17"/>
      <c r="AK347" s="21"/>
    </row>
    <row r="348" spans="1:37" x14ac:dyDescent="0.25">
      <c r="A348" s="12" t="s">
        <v>441</v>
      </c>
      <c r="B348" s="12">
        <v>69</v>
      </c>
      <c r="C348" s="12">
        <v>4.5999999999999996</v>
      </c>
      <c r="D348" s="27">
        <v>42761</v>
      </c>
      <c r="E348" s="14">
        <f>[1]!Tabela1[[#This Row],[PSA]]/[1]!Tabela1[[#This Row],[MRI vol]]</f>
        <v>0.13529411764705881</v>
      </c>
      <c r="F348" s="12"/>
      <c r="G348" s="12"/>
      <c r="H348" s="12">
        <v>34</v>
      </c>
      <c r="I348" s="12">
        <v>5</v>
      </c>
      <c r="J348" s="12"/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14</v>
      </c>
      <c r="R348" s="15">
        <v>1</v>
      </c>
      <c r="S348" s="12"/>
      <c r="T348" s="12"/>
      <c r="U348" s="15">
        <v>1</v>
      </c>
      <c r="V348" s="12"/>
      <c r="W348" s="12"/>
      <c r="X348" s="12">
        <v>2</v>
      </c>
      <c r="Y348" s="12">
        <v>2</v>
      </c>
      <c r="Z348" s="12">
        <v>2</v>
      </c>
      <c r="AA348" s="12">
        <v>0</v>
      </c>
      <c r="AB348" s="12">
        <v>0</v>
      </c>
      <c r="AC348" s="12">
        <v>1</v>
      </c>
      <c r="AD348" s="12">
        <v>1</v>
      </c>
      <c r="AE348" s="12">
        <v>0</v>
      </c>
      <c r="AF348" s="12">
        <v>0</v>
      </c>
      <c r="AG348" s="12">
        <v>0</v>
      </c>
      <c r="AH348" s="12">
        <v>0</v>
      </c>
      <c r="AI348" s="12" t="s">
        <v>47</v>
      </c>
      <c r="AJ348" s="12"/>
      <c r="AK348" s="16"/>
    </row>
    <row r="349" spans="1:37" x14ac:dyDescent="0.25">
      <c r="A349" s="17" t="s">
        <v>442</v>
      </c>
      <c r="B349" s="17">
        <v>68</v>
      </c>
      <c r="C349" s="17">
        <v>3.5</v>
      </c>
      <c r="D349" s="28">
        <v>44098</v>
      </c>
      <c r="E349" s="19">
        <f>[1]!Tabela1[[#This Row],[PSA]]/[1]!Tabela1[[#This Row],[MRI vol]]</f>
        <v>9.45945945945946E-2</v>
      </c>
      <c r="F349" s="17"/>
      <c r="G349" s="17"/>
      <c r="H349" s="17">
        <v>37</v>
      </c>
      <c r="I349" s="17">
        <v>4</v>
      </c>
      <c r="J349" s="17"/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11</v>
      </c>
      <c r="R349" s="20">
        <v>5</v>
      </c>
      <c r="S349" s="17"/>
      <c r="T349" s="17"/>
      <c r="U349" s="20">
        <v>0</v>
      </c>
      <c r="V349" s="17"/>
      <c r="W349" s="17"/>
      <c r="X349" s="17">
        <v>5</v>
      </c>
      <c r="Y349" s="17">
        <v>5</v>
      </c>
      <c r="Z349" s="17">
        <v>5</v>
      </c>
      <c r="AA349" s="17">
        <v>0</v>
      </c>
      <c r="AB349" s="17">
        <v>1</v>
      </c>
      <c r="AC349" s="17">
        <v>1</v>
      </c>
      <c r="AD349" s="17">
        <v>1</v>
      </c>
      <c r="AE349" s="17">
        <v>1</v>
      </c>
      <c r="AF349" s="17">
        <v>0</v>
      </c>
      <c r="AG349" s="17">
        <v>0</v>
      </c>
      <c r="AH349" s="17">
        <v>0</v>
      </c>
      <c r="AI349" s="17" t="s">
        <v>56</v>
      </c>
      <c r="AJ349" s="17"/>
      <c r="AK349" s="21"/>
    </row>
    <row r="350" spans="1:37" x14ac:dyDescent="0.25">
      <c r="A350" s="12" t="s">
        <v>443</v>
      </c>
      <c r="B350" s="12">
        <v>59</v>
      </c>
      <c r="C350" s="12">
        <v>5</v>
      </c>
      <c r="D350" s="27">
        <v>42346</v>
      </c>
      <c r="E350" s="14">
        <f>[1]!Tabela1[[#This Row],[PSA]]/[1]!Tabela1[[#This Row],[MRI vol]]</f>
        <v>0.16129032258064516</v>
      </c>
      <c r="F350" s="12"/>
      <c r="G350" s="12"/>
      <c r="H350" s="12">
        <v>31</v>
      </c>
      <c r="I350" s="12">
        <v>4</v>
      </c>
      <c r="J350" s="12"/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8</v>
      </c>
      <c r="R350" s="15">
        <v>0</v>
      </c>
      <c r="S350" s="12"/>
      <c r="T350" s="12"/>
      <c r="U350" s="15">
        <v>3</v>
      </c>
      <c r="V350" s="12"/>
      <c r="W350" s="12"/>
      <c r="X350" s="12">
        <v>1</v>
      </c>
      <c r="Y350" s="12">
        <v>1</v>
      </c>
      <c r="Z350" s="12">
        <v>1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 t="s">
        <v>53</v>
      </c>
      <c r="AJ350" s="12"/>
      <c r="AK350" s="16"/>
    </row>
    <row r="351" spans="1:37" x14ac:dyDescent="0.25">
      <c r="A351" s="17" t="s">
        <v>444</v>
      </c>
      <c r="B351" s="17">
        <v>66</v>
      </c>
      <c r="C351" s="17">
        <v>86</v>
      </c>
      <c r="D351" s="28">
        <v>43382</v>
      </c>
      <c r="E351" s="19">
        <f>[1]!Tabela1[[#This Row],[PSA]]/[1]!Tabela1[[#This Row],[MRI vol]]</f>
        <v>2.8666666666666667</v>
      </c>
      <c r="F351" s="17"/>
      <c r="G351" s="17"/>
      <c r="H351" s="17">
        <v>30</v>
      </c>
      <c r="I351" s="17">
        <v>5</v>
      </c>
      <c r="J351" s="17"/>
      <c r="K351" s="20">
        <v>0</v>
      </c>
      <c r="L351" s="20">
        <v>0</v>
      </c>
      <c r="M351" s="20">
        <v>0</v>
      </c>
      <c r="N351" s="20">
        <v>1</v>
      </c>
      <c r="O351" s="20">
        <v>1</v>
      </c>
      <c r="P351" s="20">
        <v>1</v>
      </c>
      <c r="Q351" s="17"/>
      <c r="R351" s="20">
        <v>2</v>
      </c>
      <c r="S351" s="17"/>
      <c r="T351" s="17"/>
      <c r="U351" s="20">
        <v>3</v>
      </c>
      <c r="V351" s="17"/>
      <c r="W351" s="17"/>
      <c r="X351" s="17">
        <v>3</v>
      </c>
      <c r="Y351" s="17">
        <v>3</v>
      </c>
      <c r="Z351" s="17">
        <v>3</v>
      </c>
      <c r="AA351" s="17">
        <v>0</v>
      </c>
      <c r="AB351" s="17">
        <v>0</v>
      </c>
      <c r="AC351" s="17">
        <v>0</v>
      </c>
      <c r="AD351" s="17">
        <v>0</v>
      </c>
      <c r="AE351" s="17">
        <v>0</v>
      </c>
      <c r="AF351" s="17">
        <v>0</v>
      </c>
      <c r="AG351" s="17">
        <v>0</v>
      </c>
      <c r="AH351" s="17">
        <v>0</v>
      </c>
      <c r="AI351" s="17" t="s">
        <v>53</v>
      </c>
      <c r="AJ351" s="17"/>
      <c r="AK351" s="21"/>
    </row>
    <row r="352" spans="1:37" x14ac:dyDescent="0.25">
      <c r="A352" s="12" t="s">
        <v>445</v>
      </c>
      <c r="B352" s="12">
        <v>52</v>
      </c>
      <c r="C352" s="12">
        <v>5.4</v>
      </c>
      <c r="D352" s="27">
        <v>42496</v>
      </c>
      <c r="E352" s="14">
        <f>[1]!Tabela1[[#This Row],[PSA]]/[1]!Tabela1[[#This Row],[MRI vol]]</f>
        <v>0.17419354838709677</v>
      </c>
      <c r="F352" s="12"/>
      <c r="G352" s="12"/>
      <c r="H352" s="12">
        <v>31</v>
      </c>
      <c r="I352" s="12">
        <v>4</v>
      </c>
      <c r="J352" s="12"/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12</v>
      </c>
      <c r="R352" s="15">
        <v>0</v>
      </c>
      <c r="S352" s="12"/>
      <c r="T352" s="12"/>
      <c r="U352" s="15">
        <v>1</v>
      </c>
      <c r="V352" s="12"/>
      <c r="W352" s="12"/>
      <c r="X352" s="12">
        <v>1</v>
      </c>
      <c r="Y352" s="12">
        <v>1</v>
      </c>
      <c r="Z352" s="12">
        <v>1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 t="s">
        <v>53</v>
      </c>
      <c r="AJ352" s="12"/>
      <c r="AK352" s="16"/>
    </row>
    <row r="353" spans="1:37" x14ac:dyDescent="0.25">
      <c r="A353" s="17" t="s">
        <v>446</v>
      </c>
      <c r="B353" s="17">
        <v>61</v>
      </c>
      <c r="C353" s="17">
        <v>8</v>
      </c>
      <c r="D353" s="28">
        <v>42866</v>
      </c>
      <c r="E353" s="19">
        <f>[1]!Tabela1[[#This Row],[PSA]]/[1]!Tabela1[[#This Row],[MRI vol]]</f>
        <v>0.15094339622641509</v>
      </c>
      <c r="F353" s="17"/>
      <c r="G353" s="17"/>
      <c r="H353" s="17">
        <v>53</v>
      </c>
      <c r="I353" s="17">
        <v>3</v>
      </c>
      <c r="J353" s="17"/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12</v>
      </c>
      <c r="R353" s="20">
        <v>1</v>
      </c>
      <c r="S353" s="17"/>
      <c r="T353" s="17"/>
      <c r="U353" s="20">
        <v>1</v>
      </c>
      <c r="V353" s="17"/>
      <c r="W353" s="17"/>
      <c r="X353" s="17">
        <v>1</v>
      </c>
      <c r="Y353" s="17">
        <v>1</v>
      </c>
      <c r="Z353" s="17">
        <v>1</v>
      </c>
      <c r="AA353" s="17">
        <v>0</v>
      </c>
      <c r="AB353" s="17">
        <v>0</v>
      </c>
      <c r="AC353" s="17">
        <v>0</v>
      </c>
      <c r="AD353" s="17">
        <v>0</v>
      </c>
      <c r="AE353" s="17">
        <v>0</v>
      </c>
      <c r="AF353" s="17">
        <v>0</v>
      </c>
      <c r="AG353" s="17">
        <v>0</v>
      </c>
      <c r="AH353" s="17">
        <v>0</v>
      </c>
      <c r="AI353" s="17" t="s">
        <v>53</v>
      </c>
      <c r="AJ353" s="17"/>
      <c r="AK353" s="21"/>
    </row>
    <row r="354" spans="1:37" x14ac:dyDescent="0.25">
      <c r="A354" s="12" t="s">
        <v>447</v>
      </c>
      <c r="B354" s="12">
        <v>67</v>
      </c>
      <c r="C354" s="12">
        <v>6.5</v>
      </c>
      <c r="D354" s="27">
        <v>43369</v>
      </c>
      <c r="E354" s="14">
        <f>[1]!Tabela1[[#This Row],[PSA]]/[1]!Tabela1[[#This Row],[MRI vol]]</f>
        <v>0.17105263157894737</v>
      </c>
      <c r="F354" s="12"/>
      <c r="G354" s="12"/>
      <c r="H354" s="12">
        <v>38</v>
      </c>
      <c r="I354" s="12">
        <v>4</v>
      </c>
      <c r="J354" s="12"/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7</v>
      </c>
      <c r="R354" s="15">
        <v>1</v>
      </c>
      <c r="S354" s="12"/>
      <c r="T354" s="12"/>
      <c r="U354" s="15">
        <v>1</v>
      </c>
      <c r="V354" s="12"/>
      <c r="W354" s="12"/>
      <c r="X354" s="12">
        <v>2</v>
      </c>
      <c r="Y354" s="12">
        <v>0</v>
      </c>
      <c r="Z354" s="12">
        <v>2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 t="s">
        <v>130</v>
      </c>
      <c r="AJ354" s="12"/>
      <c r="AK354" s="16"/>
    </row>
    <row r="355" spans="1:37" x14ac:dyDescent="0.25">
      <c r="A355" s="17" t="s">
        <v>448</v>
      </c>
      <c r="B355" s="17">
        <v>61</v>
      </c>
      <c r="C355" s="17">
        <v>13.4</v>
      </c>
      <c r="D355" s="28">
        <v>42920</v>
      </c>
      <c r="E355" s="19">
        <f>[1]!Tabela1[[#This Row],[PSA]]/[1]!Tabela1[[#This Row],[MRI vol]]</f>
        <v>0.24363636363636365</v>
      </c>
      <c r="F355" s="17"/>
      <c r="G355" s="17"/>
      <c r="H355" s="17">
        <v>55</v>
      </c>
      <c r="I355" s="17">
        <v>4</v>
      </c>
      <c r="J355" s="17"/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15</v>
      </c>
      <c r="R355" s="20">
        <v>2</v>
      </c>
      <c r="S355" s="17"/>
      <c r="T355" s="17"/>
      <c r="U355" s="20">
        <v>2</v>
      </c>
      <c r="V355" s="17"/>
      <c r="W355" s="17"/>
      <c r="X355" s="17">
        <v>2</v>
      </c>
      <c r="Y355" s="17">
        <v>2</v>
      </c>
      <c r="Z355" s="17">
        <v>2</v>
      </c>
      <c r="AA355" s="17">
        <v>0</v>
      </c>
      <c r="AB355" s="17">
        <v>0</v>
      </c>
      <c r="AC355" s="17">
        <v>0</v>
      </c>
      <c r="AD355" s="17">
        <v>0</v>
      </c>
      <c r="AE355" s="17">
        <v>0</v>
      </c>
      <c r="AF355" s="17">
        <v>0</v>
      </c>
      <c r="AG355" s="17">
        <v>0</v>
      </c>
      <c r="AH355" s="17">
        <v>0</v>
      </c>
      <c r="AI355" s="17" t="s">
        <v>53</v>
      </c>
      <c r="AJ355" s="17"/>
      <c r="AK355" s="21"/>
    </row>
    <row r="356" spans="1:37" x14ac:dyDescent="0.25">
      <c r="A356" s="12" t="s">
        <v>449</v>
      </c>
      <c r="B356" s="12">
        <v>71</v>
      </c>
      <c r="C356" s="12">
        <v>6.2</v>
      </c>
      <c r="D356" s="27">
        <v>43026</v>
      </c>
      <c r="E356" s="14">
        <f>[1]!Tabela1[[#This Row],[PSA]]/[1]!Tabela1[[#This Row],[MRI vol]]</f>
        <v>0.2</v>
      </c>
      <c r="F356" s="12"/>
      <c r="G356" s="12"/>
      <c r="H356" s="12">
        <v>31</v>
      </c>
      <c r="I356" s="12">
        <v>5</v>
      </c>
      <c r="J356" s="12"/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17</v>
      </c>
      <c r="R356" s="15">
        <v>5</v>
      </c>
      <c r="S356" s="12"/>
      <c r="T356" s="12"/>
      <c r="U356" s="15">
        <v>4</v>
      </c>
      <c r="V356" s="12"/>
      <c r="W356" s="12"/>
      <c r="X356" s="12">
        <v>5</v>
      </c>
      <c r="Y356" s="12">
        <v>5</v>
      </c>
      <c r="Z356" s="12">
        <v>5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 t="s">
        <v>53</v>
      </c>
      <c r="AJ356" s="12"/>
      <c r="AK356" s="16"/>
    </row>
    <row r="357" spans="1:37" x14ac:dyDescent="0.25">
      <c r="A357" s="17" t="s">
        <v>450</v>
      </c>
      <c r="B357" s="17">
        <v>70</v>
      </c>
      <c r="C357" s="17">
        <v>6.4</v>
      </c>
      <c r="D357" s="28">
        <v>43866</v>
      </c>
      <c r="E357" s="19">
        <f>[1]!Tabela1[[#This Row],[PSA]]/[1]!Tabela1[[#This Row],[MRI vol]]</f>
        <v>9.8461538461538461E-2</v>
      </c>
      <c r="F357" s="17"/>
      <c r="G357" s="17"/>
      <c r="H357" s="17">
        <v>65</v>
      </c>
      <c r="I357" s="17">
        <v>5</v>
      </c>
      <c r="J357" s="17"/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21</v>
      </c>
      <c r="R357" s="20">
        <v>0</v>
      </c>
      <c r="S357" s="17"/>
      <c r="T357" s="17"/>
      <c r="U357" s="20">
        <v>3</v>
      </c>
      <c r="V357" s="17"/>
      <c r="W357" s="17"/>
      <c r="X357" s="17">
        <v>4</v>
      </c>
      <c r="Y357" s="17">
        <v>0</v>
      </c>
      <c r="Z357" s="17">
        <v>4</v>
      </c>
      <c r="AA357" s="17">
        <v>0</v>
      </c>
      <c r="AB357" s="17">
        <v>0</v>
      </c>
      <c r="AC357" s="17">
        <v>0</v>
      </c>
      <c r="AD357" s="17">
        <v>0</v>
      </c>
      <c r="AE357" s="17">
        <v>0</v>
      </c>
      <c r="AF357" s="17">
        <v>0</v>
      </c>
      <c r="AG357" s="17">
        <v>0</v>
      </c>
      <c r="AH357" s="17">
        <v>0</v>
      </c>
      <c r="AI357" s="17" t="s">
        <v>130</v>
      </c>
      <c r="AJ357" s="17"/>
      <c r="AK357" s="21"/>
    </row>
    <row r="358" spans="1:37" x14ac:dyDescent="0.25">
      <c r="A358" s="12" t="s">
        <v>451</v>
      </c>
      <c r="B358" s="12">
        <v>57</v>
      </c>
      <c r="C358" s="12">
        <v>134</v>
      </c>
      <c r="D358" s="27">
        <v>42537</v>
      </c>
      <c r="E358" s="14">
        <f>[1]!Tabela1[[#This Row],[PSA]]/[1]!Tabela1[[#This Row],[MRI vol]]</f>
        <v>4.9629629629629628</v>
      </c>
      <c r="F358" s="12"/>
      <c r="G358" s="12"/>
      <c r="H358" s="12">
        <v>27</v>
      </c>
      <c r="I358" s="12">
        <v>5</v>
      </c>
      <c r="J358" s="12"/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28</v>
      </c>
      <c r="R358" s="15">
        <v>1</v>
      </c>
      <c r="S358" s="12"/>
      <c r="T358" s="12"/>
      <c r="U358" s="15">
        <v>1</v>
      </c>
      <c r="V358" s="12"/>
      <c r="W358" s="12"/>
      <c r="X358" s="12">
        <v>5</v>
      </c>
      <c r="Y358" s="12">
        <v>5</v>
      </c>
      <c r="Z358" s="12">
        <v>5</v>
      </c>
      <c r="AA358" s="12">
        <v>1</v>
      </c>
      <c r="AB358" s="12">
        <v>0</v>
      </c>
      <c r="AC358" s="12">
        <v>1</v>
      </c>
      <c r="AD358" s="12">
        <v>1</v>
      </c>
      <c r="AE358" s="12">
        <v>0</v>
      </c>
      <c r="AF358" s="12">
        <v>0</v>
      </c>
      <c r="AG358" s="12">
        <v>0</v>
      </c>
      <c r="AH358" s="12">
        <v>0</v>
      </c>
      <c r="AI358" s="12" t="s">
        <v>47</v>
      </c>
      <c r="AJ358" s="12"/>
      <c r="AK358" s="16"/>
    </row>
    <row r="359" spans="1:37" x14ac:dyDescent="0.25">
      <c r="A359" s="17" t="s">
        <v>452</v>
      </c>
      <c r="B359" s="17">
        <v>66</v>
      </c>
      <c r="C359" s="17">
        <v>4.3</v>
      </c>
      <c r="D359" s="28">
        <v>43053</v>
      </c>
      <c r="E359" s="19">
        <f>[1]!Tabela1[[#This Row],[PSA]]/[1]!Tabela1[[#This Row],[MRI vol]]</f>
        <v>0.11621621621621621</v>
      </c>
      <c r="F359" s="17"/>
      <c r="G359" s="17"/>
      <c r="H359" s="17">
        <v>37</v>
      </c>
      <c r="I359" s="17">
        <v>4</v>
      </c>
      <c r="J359" s="17"/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11</v>
      </c>
      <c r="R359" s="20">
        <v>2</v>
      </c>
      <c r="S359" s="17"/>
      <c r="T359" s="17"/>
      <c r="U359" s="20">
        <v>2</v>
      </c>
      <c r="V359" s="17"/>
      <c r="W359" s="17"/>
      <c r="X359" s="17">
        <v>2</v>
      </c>
      <c r="Y359" s="17">
        <v>0</v>
      </c>
      <c r="Z359" s="17">
        <v>2</v>
      </c>
      <c r="AA359" s="17">
        <v>0</v>
      </c>
      <c r="AB359" s="17">
        <v>0</v>
      </c>
      <c r="AC359" s="17"/>
      <c r="AD359" s="17">
        <v>0</v>
      </c>
      <c r="AE359" s="17">
        <v>0</v>
      </c>
      <c r="AF359" s="17">
        <v>0</v>
      </c>
      <c r="AG359" s="17">
        <v>0</v>
      </c>
      <c r="AH359" s="17">
        <v>0</v>
      </c>
      <c r="AI359" s="17" t="s">
        <v>130</v>
      </c>
      <c r="AJ359" s="17"/>
      <c r="AK359" s="21"/>
    </row>
    <row r="360" spans="1:37" x14ac:dyDescent="0.25">
      <c r="A360" s="12" t="s">
        <v>453</v>
      </c>
      <c r="B360" s="12">
        <v>52</v>
      </c>
      <c r="C360" s="12">
        <v>9</v>
      </c>
      <c r="D360" s="27">
        <v>43178</v>
      </c>
      <c r="E360" s="14">
        <f>[1]!Tabela1[[#This Row],[PSA]]/[1]!Tabela1[[#This Row],[MRI vol]]</f>
        <v>0.36</v>
      </c>
      <c r="F360" s="12"/>
      <c r="G360" s="12"/>
      <c r="H360" s="12">
        <v>25</v>
      </c>
      <c r="I360" s="12">
        <v>5</v>
      </c>
      <c r="J360" s="12"/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17</v>
      </c>
      <c r="R360" s="15">
        <v>1</v>
      </c>
      <c r="S360" s="12"/>
      <c r="T360" s="12"/>
      <c r="U360" s="15">
        <v>1</v>
      </c>
      <c r="V360" s="12"/>
      <c r="W360" s="12"/>
      <c r="X360" s="12">
        <v>2</v>
      </c>
      <c r="Y360" s="12">
        <v>2</v>
      </c>
      <c r="Z360" s="12">
        <v>2</v>
      </c>
      <c r="AA360" s="12">
        <v>1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 t="s">
        <v>53</v>
      </c>
      <c r="AJ360" s="12"/>
      <c r="AK360" s="16"/>
    </row>
    <row r="361" spans="1:37" x14ac:dyDescent="0.25">
      <c r="A361" s="17" t="s">
        <v>454</v>
      </c>
      <c r="B361" s="17">
        <v>64</v>
      </c>
      <c r="C361" s="17">
        <v>13.8</v>
      </c>
      <c r="D361" s="28">
        <v>42844</v>
      </c>
      <c r="E361" s="19">
        <f>[1]!Tabela1[[#This Row],[PSA]]/[1]!Tabela1[[#This Row],[MRI vol]]</f>
        <v>0.31363636363636366</v>
      </c>
      <c r="F361" s="17"/>
      <c r="G361" s="17"/>
      <c r="H361" s="17">
        <v>44</v>
      </c>
      <c r="I361" s="17">
        <v>5</v>
      </c>
      <c r="J361" s="17"/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18</v>
      </c>
      <c r="R361" s="20">
        <v>0</v>
      </c>
      <c r="S361" s="17"/>
      <c r="T361" s="17"/>
      <c r="U361" s="20">
        <v>1</v>
      </c>
      <c r="V361" s="17"/>
      <c r="W361" s="17"/>
      <c r="X361" s="17">
        <v>5</v>
      </c>
      <c r="Y361" s="17">
        <v>5</v>
      </c>
      <c r="Z361" s="17">
        <v>5</v>
      </c>
      <c r="AA361" s="17">
        <v>0</v>
      </c>
      <c r="AB361" s="17">
        <v>0</v>
      </c>
      <c r="AC361" s="17">
        <v>1</v>
      </c>
      <c r="AD361" s="17">
        <v>1</v>
      </c>
      <c r="AE361" s="17">
        <v>0</v>
      </c>
      <c r="AF361" s="17">
        <v>0</v>
      </c>
      <c r="AG361" s="17">
        <v>0</v>
      </c>
      <c r="AH361" s="17">
        <v>0</v>
      </c>
      <c r="AI361" s="17" t="s">
        <v>47</v>
      </c>
      <c r="AJ361" s="17"/>
      <c r="AK361" s="21"/>
    </row>
    <row r="362" spans="1:37" x14ac:dyDescent="0.25">
      <c r="A362" s="12" t="s">
        <v>455</v>
      </c>
      <c r="B362" s="12">
        <v>55</v>
      </c>
      <c r="C362" s="12">
        <v>8.5</v>
      </c>
      <c r="D362" s="27">
        <v>43431</v>
      </c>
      <c r="E362" s="14">
        <f>[1]!Tabela1[[#This Row],[PSA]]/[1]!Tabela1[[#This Row],[MRI vol]]</f>
        <v>0.34</v>
      </c>
      <c r="F362" s="12"/>
      <c r="G362" s="12"/>
      <c r="H362" s="12">
        <v>25</v>
      </c>
      <c r="I362" s="12">
        <v>5</v>
      </c>
      <c r="J362" s="12"/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20</v>
      </c>
      <c r="R362" s="15">
        <v>0</v>
      </c>
      <c r="S362" s="12"/>
      <c r="T362" s="12"/>
      <c r="U362" s="15">
        <v>2</v>
      </c>
      <c r="V362" s="12"/>
      <c r="W362" s="12"/>
      <c r="X362" s="12">
        <v>2</v>
      </c>
      <c r="Y362" s="12">
        <v>2</v>
      </c>
      <c r="Z362" s="12">
        <v>2</v>
      </c>
      <c r="AA362" s="12">
        <v>0</v>
      </c>
      <c r="AB362" s="12">
        <v>0</v>
      </c>
      <c r="AC362" s="12">
        <v>1</v>
      </c>
      <c r="AD362" s="12">
        <v>1</v>
      </c>
      <c r="AE362" s="12">
        <v>1</v>
      </c>
      <c r="AF362" s="12">
        <v>0</v>
      </c>
      <c r="AG362" s="12">
        <v>0</v>
      </c>
      <c r="AH362" s="12">
        <v>0</v>
      </c>
      <c r="AI362" s="12" t="s">
        <v>47</v>
      </c>
      <c r="AJ362" s="12"/>
      <c r="AK362" s="16"/>
    </row>
    <row r="363" spans="1:37" x14ac:dyDescent="0.25">
      <c r="A363" s="17" t="s">
        <v>456</v>
      </c>
      <c r="B363" s="17">
        <v>57</v>
      </c>
      <c r="C363" s="17">
        <v>6.4</v>
      </c>
      <c r="D363" s="28">
        <v>42286</v>
      </c>
      <c r="E363" s="19">
        <f>[1]!Tabela1[[#This Row],[PSA]]/[1]!Tabela1[[#This Row],[MRI vol]]</f>
        <v>0.14545454545454548</v>
      </c>
      <c r="F363" s="17"/>
      <c r="G363" s="17"/>
      <c r="H363" s="17">
        <v>44</v>
      </c>
      <c r="I363" s="17">
        <v>5</v>
      </c>
      <c r="J363" s="17"/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16</v>
      </c>
      <c r="R363" s="20">
        <v>0</v>
      </c>
      <c r="S363" s="17"/>
      <c r="T363" s="17"/>
      <c r="U363" s="20">
        <v>1</v>
      </c>
      <c r="V363" s="17"/>
      <c r="W363" s="17"/>
      <c r="X363" s="17">
        <v>2</v>
      </c>
      <c r="Y363" s="17">
        <v>2</v>
      </c>
      <c r="Z363" s="17">
        <v>2</v>
      </c>
      <c r="AA363" s="17">
        <v>0</v>
      </c>
      <c r="AB363" s="17">
        <v>0</v>
      </c>
      <c r="AC363" s="17">
        <v>1</v>
      </c>
      <c r="AD363" s="17">
        <v>1</v>
      </c>
      <c r="AE363" s="17">
        <v>0</v>
      </c>
      <c r="AF363" s="17">
        <v>0</v>
      </c>
      <c r="AG363" s="17">
        <v>0</v>
      </c>
      <c r="AH363" s="17">
        <v>0</v>
      </c>
      <c r="AI363" s="17" t="s">
        <v>47</v>
      </c>
      <c r="AJ363" s="17"/>
      <c r="AK363" s="21"/>
    </row>
    <row r="364" spans="1:37" x14ac:dyDescent="0.25">
      <c r="A364" s="12" t="s">
        <v>457</v>
      </c>
      <c r="B364" s="12">
        <v>59</v>
      </c>
      <c r="C364" s="12">
        <v>12.3</v>
      </c>
      <c r="D364" s="27">
        <v>44055</v>
      </c>
      <c r="E364" s="14">
        <f>[1]!Tabela1[[#This Row],[PSA]]/[1]!Tabela1[[#This Row],[MRI vol]]</f>
        <v>0.34166666666666667</v>
      </c>
      <c r="F364" s="12"/>
      <c r="G364" s="12"/>
      <c r="H364" s="12">
        <v>36</v>
      </c>
      <c r="I364" s="12">
        <v>5</v>
      </c>
      <c r="J364" s="12"/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36</v>
      </c>
      <c r="R364" s="15">
        <v>1</v>
      </c>
      <c r="S364" s="12"/>
      <c r="T364" s="12"/>
      <c r="U364" s="15">
        <v>1</v>
      </c>
      <c r="V364" s="12"/>
      <c r="W364" s="12"/>
      <c r="X364" s="12">
        <v>2</v>
      </c>
      <c r="Y364" s="12">
        <v>2</v>
      </c>
      <c r="Z364" s="12">
        <v>2</v>
      </c>
      <c r="AA364" s="12">
        <v>1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 t="s">
        <v>53</v>
      </c>
      <c r="AJ364" s="12"/>
      <c r="AK364" s="16"/>
    </row>
    <row r="365" spans="1:37" x14ac:dyDescent="0.25">
      <c r="A365" s="17" t="s">
        <v>458</v>
      </c>
      <c r="B365" s="17">
        <v>67</v>
      </c>
      <c r="C365" s="17">
        <v>6</v>
      </c>
      <c r="D365" s="28">
        <v>42892</v>
      </c>
      <c r="E365" s="19">
        <f>[1]!Tabela1[[#This Row],[PSA]]/[1]!Tabela1[[#This Row],[MRI vol]]</f>
        <v>0.1276595744680851</v>
      </c>
      <c r="F365" s="17"/>
      <c r="G365" s="17"/>
      <c r="H365" s="17">
        <v>47</v>
      </c>
      <c r="I365" s="17">
        <v>5</v>
      </c>
      <c r="J365" s="17"/>
      <c r="K365" s="20">
        <v>1</v>
      </c>
      <c r="L365" s="20">
        <v>1</v>
      </c>
      <c r="M365" s="20">
        <v>1</v>
      </c>
      <c r="N365" s="20">
        <v>1</v>
      </c>
      <c r="O365" s="20">
        <v>1</v>
      </c>
      <c r="P365" s="20">
        <v>0</v>
      </c>
      <c r="Q365" s="20">
        <v>42</v>
      </c>
      <c r="R365" s="20">
        <v>5</v>
      </c>
      <c r="S365" s="17"/>
      <c r="T365" s="17"/>
      <c r="U365" s="20">
        <v>5</v>
      </c>
      <c r="V365" s="17"/>
      <c r="W365" s="17"/>
      <c r="X365" s="17">
        <v>5</v>
      </c>
      <c r="Y365" s="17">
        <v>5</v>
      </c>
      <c r="Z365" s="17">
        <v>5</v>
      </c>
      <c r="AA365" s="17">
        <v>0</v>
      </c>
      <c r="AB365" s="17">
        <v>1</v>
      </c>
      <c r="AC365" s="17">
        <v>1</v>
      </c>
      <c r="AD365" s="17">
        <v>1</v>
      </c>
      <c r="AE365" s="17">
        <v>1</v>
      </c>
      <c r="AF365" s="17">
        <v>1</v>
      </c>
      <c r="AG365" s="17">
        <v>1</v>
      </c>
      <c r="AH365" s="17">
        <v>1</v>
      </c>
      <c r="AI365" s="17" t="s">
        <v>72</v>
      </c>
      <c r="AJ365" s="17"/>
      <c r="AK365" s="21"/>
    </row>
    <row r="366" spans="1:37" x14ac:dyDescent="0.25">
      <c r="A366" s="12" t="s">
        <v>459</v>
      </c>
      <c r="B366" s="12">
        <v>68</v>
      </c>
      <c r="C366" s="12">
        <v>13.8</v>
      </c>
      <c r="D366" s="27">
        <v>42992</v>
      </c>
      <c r="E366" s="14">
        <f>[1]!Tabela1[[#This Row],[PSA]]/[1]!Tabela1[[#This Row],[MRI vol]]</f>
        <v>0.35384615384615387</v>
      </c>
      <c r="F366" s="12"/>
      <c r="G366" s="12"/>
      <c r="H366" s="12">
        <v>39</v>
      </c>
      <c r="I366" s="12">
        <v>4</v>
      </c>
      <c r="J366" s="12"/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7</v>
      </c>
      <c r="R366" s="15">
        <v>0</v>
      </c>
      <c r="S366" s="12"/>
      <c r="T366" s="12"/>
      <c r="U366" s="15">
        <v>3</v>
      </c>
      <c r="V366" s="12"/>
      <c r="W366" s="12"/>
      <c r="X366" s="12">
        <v>2</v>
      </c>
      <c r="Y366" s="12">
        <v>0</v>
      </c>
      <c r="Z366" s="12">
        <v>2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/>
      <c r="AJ366" s="12"/>
      <c r="AK366" s="16"/>
    </row>
    <row r="367" spans="1:37" x14ac:dyDescent="0.25">
      <c r="A367" s="17" t="s">
        <v>460</v>
      </c>
      <c r="B367" s="17">
        <v>64</v>
      </c>
      <c r="C367" s="17">
        <v>14</v>
      </c>
      <c r="D367" s="28">
        <v>43178</v>
      </c>
      <c r="E367" s="19">
        <f>[1]!Tabela1[[#This Row],[PSA]]/[1]!Tabela1[[#This Row],[MRI vol]]</f>
        <v>0.31111111111111112</v>
      </c>
      <c r="F367" s="17"/>
      <c r="G367" s="17"/>
      <c r="H367" s="17">
        <v>45</v>
      </c>
      <c r="I367" s="17">
        <v>5</v>
      </c>
      <c r="J367" s="17"/>
      <c r="K367" s="20">
        <v>1</v>
      </c>
      <c r="L367" s="20">
        <v>0</v>
      </c>
      <c r="M367" s="20">
        <v>1</v>
      </c>
      <c r="N367" s="20">
        <v>1</v>
      </c>
      <c r="O367" s="20">
        <v>1</v>
      </c>
      <c r="P367" s="20">
        <v>1</v>
      </c>
      <c r="Q367" s="20">
        <v>37</v>
      </c>
      <c r="R367" s="20">
        <v>4</v>
      </c>
      <c r="S367" s="17"/>
      <c r="T367" s="17"/>
      <c r="U367" s="20">
        <v>3</v>
      </c>
      <c r="V367" s="17"/>
      <c r="W367" s="17"/>
      <c r="X367" s="17">
        <v>5</v>
      </c>
      <c r="Y367" s="17">
        <v>5</v>
      </c>
      <c r="Z367" s="17">
        <v>5</v>
      </c>
      <c r="AA367" s="17">
        <v>1</v>
      </c>
      <c r="AB367" s="17">
        <v>0</v>
      </c>
      <c r="AC367" s="17">
        <v>1</v>
      </c>
      <c r="AD367" s="17">
        <v>1</v>
      </c>
      <c r="AE367" s="17">
        <v>1</v>
      </c>
      <c r="AF367" s="17">
        <v>1</v>
      </c>
      <c r="AG367" s="17">
        <v>1</v>
      </c>
      <c r="AH367" s="17">
        <v>1</v>
      </c>
      <c r="AI367" s="17" t="s">
        <v>72</v>
      </c>
      <c r="AJ367" s="17"/>
      <c r="AK367" s="21"/>
    </row>
    <row r="368" spans="1:37" x14ac:dyDescent="0.25">
      <c r="A368" s="12" t="s">
        <v>461</v>
      </c>
      <c r="B368" s="12">
        <v>65</v>
      </c>
      <c r="C368" s="12">
        <v>11</v>
      </c>
      <c r="D368" s="27">
        <v>42489</v>
      </c>
      <c r="E368" s="14">
        <f>[1]!Tabela1[[#This Row],[PSA]]/[1]!Tabela1[[#This Row],[MRI vol]]</f>
        <v>0.39285714285714285</v>
      </c>
      <c r="F368" s="12"/>
      <c r="G368" s="12"/>
      <c r="H368" s="12">
        <v>28</v>
      </c>
      <c r="I368" s="12">
        <v>5</v>
      </c>
      <c r="J368" s="12"/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8</v>
      </c>
      <c r="R368" s="15">
        <v>2</v>
      </c>
      <c r="S368" s="12"/>
      <c r="T368" s="12"/>
      <c r="U368" s="15">
        <v>2</v>
      </c>
      <c r="V368" s="12"/>
      <c r="W368" s="12"/>
      <c r="X368" s="12">
        <v>4</v>
      </c>
      <c r="Y368" s="12">
        <v>4</v>
      </c>
      <c r="Z368" s="12">
        <v>4</v>
      </c>
      <c r="AA368" s="12">
        <v>0</v>
      </c>
      <c r="AB368" s="12">
        <v>0</v>
      </c>
      <c r="AC368" s="12">
        <v>1</v>
      </c>
      <c r="AD368" s="12">
        <v>1</v>
      </c>
      <c r="AE368" s="12">
        <v>1</v>
      </c>
      <c r="AF368" s="12">
        <v>0</v>
      </c>
      <c r="AG368" s="12">
        <v>0</v>
      </c>
      <c r="AH368" s="12">
        <v>0</v>
      </c>
      <c r="AI368" s="12" t="s">
        <v>47</v>
      </c>
      <c r="AJ368" s="12"/>
      <c r="AK368" s="16"/>
    </row>
    <row r="369" spans="1:37" x14ac:dyDescent="0.25">
      <c r="A369" s="17" t="s">
        <v>462</v>
      </c>
      <c r="B369" s="17">
        <v>67</v>
      </c>
      <c r="C369" s="17">
        <v>6.4</v>
      </c>
      <c r="D369" s="28">
        <v>43444</v>
      </c>
      <c r="E369" s="19">
        <f>[1]!Tabela1[[#This Row],[PSA]]/[1]!Tabela1[[#This Row],[MRI vol]]</f>
        <v>0.22068965517241382</v>
      </c>
      <c r="F369" s="17"/>
      <c r="G369" s="17"/>
      <c r="H369" s="17">
        <v>29</v>
      </c>
      <c r="I369" s="17">
        <v>5</v>
      </c>
      <c r="J369" s="17"/>
      <c r="K369" s="20">
        <v>1</v>
      </c>
      <c r="L369" s="20">
        <v>0</v>
      </c>
      <c r="M369" s="20">
        <v>1</v>
      </c>
      <c r="N369" s="20">
        <v>1</v>
      </c>
      <c r="O369" s="20">
        <v>0</v>
      </c>
      <c r="P369" s="20">
        <v>1</v>
      </c>
      <c r="Q369" s="20">
        <v>19</v>
      </c>
      <c r="R369" s="20">
        <v>4</v>
      </c>
      <c r="S369" s="17"/>
      <c r="T369" s="17"/>
      <c r="U369" s="20">
        <v>0</v>
      </c>
      <c r="V369" s="17"/>
      <c r="W369" s="17"/>
      <c r="X369" s="17">
        <v>4</v>
      </c>
      <c r="Y369" s="17">
        <v>4</v>
      </c>
      <c r="Z369" s="17">
        <v>0</v>
      </c>
      <c r="AA369" s="17">
        <v>0</v>
      </c>
      <c r="AB369" s="17">
        <v>0</v>
      </c>
      <c r="AC369" s="17">
        <v>1</v>
      </c>
      <c r="AD369" s="17">
        <v>0</v>
      </c>
      <c r="AE369" s="17">
        <v>1</v>
      </c>
      <c r="AF369" s="17">
        <v>0</v>
      </c>
      <c r="AG369" s="17">
        <v>0</v>
      </c>
      <c r="AH369" s="17">
        <v>0</v>
      </c>
      <c r="AI369" s="17" t="s">
        <v>47</v>
      </c>
      <c r="AJ369" s="17"/>
      <c r="AK369" s="21"/>
    </row>
    <row r="370" spans="1:37" x14ac:dyDescent="0.25">
      <c r="A370" s="12" t="s">
        <v>463</v>
      </c>
      <c r="B370" s="12">
        <v>70</v>
      </c>
      <c r="C370" s="12">
        <v>6.9</v>
      </c>
      <c r="D370" s="27">
        <v>43235</v>
      </c>
      <c r="E370" s="14">
        <f>[1]!Tabela1[[#This Row],[PSA]]/[1]!Tabela1[[#This Row],[MRI vol]]</f>
        <v>0.21562500000000001</v>
      </c>
      <c r="F370" s="12"/>
      <c r="G370" s="12"/>
      <c r="H370" s="12">
        <v>32</v>
      </c>
      <c r="I370" s="12">
        <v>5</v>
      </c>
      <c r="J370" s="12"/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15</v>
      </c>
      <c r="R370" s="15">
        <v>1</v>
      </c>
      <c r="S370" s="12"/>
      <c r="T370" s="12"/>
      <c r="U370" s="15">
        <v>1</v>
      </c>
      <c r="V370" s="12"/>
      <c r="W370" s="12"/>
      <c r="X370" s="12">
        <v>2</v>
      </c>
      <c r="Y370" s="12">
        <v>2</v>
      </c>
      <c r="Z370" s="12">
        <v>2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 t="s">
        <v>53</v>
      </c>
      <c r="AJ370" s="12"/>
      <c r="AK370" s="16"/>
    </row>
    <row r="371" spans="1:37" x14ac:dyDescent="0.25">
      <c r="A371" s="17" t="s">
        <v>464</v>
      </c>
      <c r="B371" s="17">
        <v>55</v>
      </c>
      <c r="C371" s="17">
        <v>3.6</v>
      </c>
      <c r="D371" s="28">
        <v>42809</v>
      </c>
      <c r="E371" s="19">
        <f>[1]!Tabela1[[#This Row],[PSA]]/[1]!Tabela1[[#This Row],[MRI vol]]</f>
        <v>0.1090909090909091</v>
      </c>
      <c r="F371" s="17"/>
      <c r="G371" s="17"/>
      <c r="H371" s="17">
        <v>33</v>
      </c>
      <c r="I371" s="17">
        <v>5</v>
      </c>
      <c r="J371" s="17"/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20">
        <v>11</v>
      </c>
      <c r="R371" s="20">
        <v>1</v>
      </c>
      <c r="S371" s="17"/>
      <c r="T371" s="17"/>
      <c r="U371" s="20">
        <v>0</v>
      </c>
      <c r="V371" s="17"/>
      <c r="W371" s="17"/>
      <c r="X371" s="17">
        <v>3</v>
      </c>
      <c r="Y371" s="17">
        <v>3</v>
      </c>
      <c r="Z371" s="17">
        <v>3</v>
      </c>
      <c r="AA371" s="17">
        <v>0</v>
      </c>
      <c r="AB371" s="17">
        <v>0</v>
      </c>
      <c r="AC371" s="17">
        <v>1</v>
      </c>
      <c r="AD371" s="17">
        <v>0</v>
      </c>
      <c r="AE371" s="17">
        <v>1</v>
      </c>
      <c r="AF371" s="17">
        <v>0</v>
      </c>
      <c r="AG371" s="17">
        <v>0</v>
      </c>
      <c r="AH371" s="17">
        <v>0</v>
      </c>
      <c r="AI371" s="17" t="s">
        <v>47</v>
      </c>
      <c r="AJ371" s="17"/>
      <c r="AK371" s="21"/>
    </row>
    <row r="372" spans="1:37" x14ac:dyDescent="0.25">
      <c r="A372" s="12" t="s">
        <v>465</v>
      </c>
      <c r="B372" s="12">
        <v>67</v>
      </c>
      <c r="C372" s="12">
        <v>7.1</v>
      </c>
      <c r="D372" s="27">
        <v>43347</v>
      </c>
      <c r="E372" s="14">
        <f>[1]!Tabela1[[#This Row],[PSA]]/[1]!Tabela1[[#This Row],[MRI vol]]</f>
        <v>0.12678571428571428</v>
      </c>
      <c r="F372" s="12"/>
      <c r="G372" s="12"/>
      <c r="H372" s="12">
        <v>56</v>
      </c>
      <c r="I372" s="12">
        <v>3</v>
      </c>
      <c r="J372" s="12"/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2"/>
      <c r="R372" s="15">
        <v>1</v>
      </c>
      <c r="S372" s="12"/>
      <c r="T372" s="12"/>
      <c r="U372" s="15">
        <v>1</v>
      </c>
      <c r="V372" s="12"/>
      <c r="W372" s="12"/>
      <c r="X372" s="12">
        <v>2</v>
      </c>
      <c r="Y372" s="12">
        <v>2</v>
      </c>
      <c r="Z372" s="12">
        <v>2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 t="s">
        <v>53</v>
      </c>
      <c r="AJ372" s="12"/>
      <c r="AK372" s="16"/>
    </row>
    <row r="373" spans="1:37" x14ac:dyDescent="0.25">
      <c r="A373" s="17" t="s">
        <v>466</v>
      </c>
      <c r="B373" s="17">
        <v>64</v>
      </c>
      <c r="C373" s="17">
        <v>8</v>
      </c>
      <c r="D373" s="28">
        <v>42538</v>
      </c>
      <c r="E373" s="19">
        <f>[1]!Tabela1[[#This Row],[PSA]]/[1]!Tabela1[[#This Row],[MRI vol]]</f>
        <v>0.10666666666666667</v>
      </c>
      <c r="F373" s="17"/>
      <c r="G373" s="17"/>
      <c r="H373" s="17">
        <v>75</v>
      </c>
      <c r="I373" s="17"/>
      <c r="J373" s="17"/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17"/>
      <c r="R373" s="20">
        <v>0</v>
      </c>
      <c r="S373" s="17"/>
      <c r="T373" s="17"/>
      <c r="U373" s="20">
        <v>2</v>
      </c>
      <c r="V373" s="17"/>
      <c r="W373" s="17"/>
      <c r="X373" s="17">
        <v>1</v>
      </c>
      <c r="Y373" s="17">
        <v>1</v>
      </c>
      <c r="Z373" s="17">
        <v>1</v>
      </c>
      <c r="AA373" s="17">
        <v>0</v>
      </c>
      <c r="AB373" s="17">
        <v>0</v>
      </c>
      <c r="AC373" s="17">
        <v>0</v>
      </c>
      <c r="AD373" s="17">
        <v>0</v>
      </c>
      <c r="AE373" s="17">
        <v>0</v>
      </c>
      <c r="AF373" s="17">
        <v>0</v>
      </c>
      <c r="AG373" s="17">
        <v>0</v>
      </c>
      <c r="AH373" s="17">
        <v>0</v>
      </c>
      <c r="AI373" s="17" t="s">
        <v>53</v>
      </c>
      <c r="AJ373" s="17"/>
      <c r="AK373" s="21"/>
    </row>
    <row r="374" spans="1:37" x14ac:dyDescent="0.25">
      <c r="A374" s="12" t="s">
        <v>467</v>
      </c>
      <c r="B374" s="12">
        <v>73</v>
      </c>
      <c r="C374" s="12">
        <v>13.2</v>
      </c>
      <c r="D374" s="27">
        <v>42446</v>
      </c>
      <c r="E374" s="14">
        <f>[1]!Tabela1[[#This Row],[PSA]]/[1]!Tabela1[[#This Row],[MRI vol]]</f>
        <v>0.34736842105263155</v>
      </c>
      <c r="F374" s="12"/>
      <c r="G374" s="12"/>
      <c r="H374" s="12">
        <v>38</v>
      </c>
      <c r="I374" s="12">
        <v>4</v>
      </c>
      <c r="J374" s="12"/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9</v>
      </c>
      <c r="R374" s="15">
        <v>0</v>
      </c>
      <c r="S374" s="12"/>
      <c r="T374" s="12"/>
      <c r="U374" s="15">
        <v>2</v>
      </c>
      <c r="V374" s="12"/>
      <c r="W374" s="12"/>
      <c r="X374" s="12">
        <v>3</v>
      </c>
      <c r="Y374" s="12">
        <v>3</v>
      </c>
      <c r="Z374" s="12">
        <v>3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 t="s">
        <v>53</v>
      </c>
      <c r="AJ374" s="12"/>
      <c r="AK374" s="16"/>
    </row>
    <row r="375" spans="1:37" x14ac:dyDescent="0.25">
      <c r="A375" s="17" t="s">
        <v>468</v>
      </c>
      <c r="B375" s="17">
        <v>64</v>
      </c>
      <c r="C375" s="17">
        <v>14.5</v>
      </c>
      <c r="D375" s="28">
        <v>43573</v>
      </c>
      <c r="E375" s="19">
        <f>[1]!Tabela1[[#This Row],[PSA]]/[1]!Tabela1[[#This Row],[MRI vol]]</f>
        <v>0.60416666666666663</v>
      </c>
      <c r="F375" s="17"/>
      <c r="G375" s="17"/>
      <c r="H375" s="17">
        <v>24</v>
      </c>
      <c r="I375" s="17">
        <v>4</v>
      </c>
      <c r="J375" s="17"/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10</v>
      </c>
      <c r="R375" s="20">
        <v>2</v>
      </c>
      <c r="S375" s="17"/>
      <c r="T375" s="17"/>
      <c r="U375" s="20">
        <v>3</v>
      </c>
      <c r="V375" s="17"/>
      <c r="W375" s="17"/>
      <c r="X375" s="17">
        <v>3</v>
      </c>
      <c r="Y375" s="17">
        <v>3</v>
      </c>
      <c r="Z375" s="17">
        <v>3</v>
      </c>
      <c r="AA375" s="17">
        <v>0</v>
      </c>
      <c r="AB375" s="17">
        <v>0</v>
      </c>
      <c r="AC375" s="17">
        <v>0</v>
      </c>
      <c r="AD375" s="17">
        <v>0</v>
      </c>
      <c r="AE375" s="17">
        <v>0</v>
      </c>
      <c r="AF375" s="17">
        <v>0</v>
      </c>
      <c r="AG375" s="17">
        <v>0</v>
      </c>
      <c r="AH375" s="17">
        <v>0</v>
      </c>
      <c r="AI375" s="17" t="s">
        <v>53</v>
      </c>
      <c r="AJ375" s="17"/>
      <c r="AK375" s="21"/>
    </row>
    <row r="376" spans="1:37" x14ac:dyDescent="0.25">
      <c r="A376" s="12" t="s">
        <v>469</v>
      </c>
      <c r="B376" s="12">
        <v>54</v>
      </c>
      <c r="C376" s="12">
        <v>6.2</v>
      </c>
      <c r="D376" s="27">
        <v>43859</v>
      </c>
      <c r="E376" s="14">
        <f>[1]!Tabela1[[#This Row],[PSA]]/[1]!Tabela1[[#This Row],[MRI vol]]</f>
        <v>0.20666666666666667</v>
      </c>
      <c r="F376" s="12"/>
      <c r="G376" s="12"/>
      <c r="H376" s="12">
        <v>30</v>
      </c>
      <c r="I376" s="12">
        <v>3</v>
      </c>
      <c r="J376" s="12"/>
      <c r="K376" s="12"/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10</v>
      </c>
      <c r="R376" s="15">
        <v>2</v>
      </c>
      <c r="S376" s="12"/>
      <c r="T376" s="12"/>
      <c r="U376" s="15">
        <v>0</v>
      </c>
      <c r="V376" s="12"/>
      <c r="W376" s="12"/>
      <c r="X376" s="12">
        <v>2</v>
      </c>
      <c r="Y376" s="12">
        <v>2</v>
      </c>
      <c r="Z376" s="12">
        <v>2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 t="s">
        <v>53</v>
      </c>
      <c r="AJ376" s="12"/>
      <c r="AK376" s="16"/>
    </row>
    <row r="377" spans="1:37" x14ac:dyDescent="0.25">
      <c r="A377" s="17" t="s">
        <v>470</v>
      </c>
      <c r="B377" s="17">
        <v>62</v>
      </c>
      <c r="C377" s="17">
        <v>4.2</v>
      </c>
      <c r="D377" s="28">
        <v>42688</v>
      </c>
      <c r="E377" s="19">
        <f>[1]!Tabela1[[#This Row],[PSA]]/[1]!Tabela1[[#This Row],[MRI vol]]</f>
        <v>7.4999999999999997E-2</v>
      </c>
      <c r="F377" s="17"/>
      <c r="G377" s="17"/>
      <c r="H377" s="17">
        <v>56</v>
      </c>
      <c r="I377" s="17">
        <v>5</v>
      </c>
      <c r="J377" s="17"/>
      <c r="K377" s="20">
        <v>1</v>
      </c>
      <c r="L377" s="20">
        <v>0</v>
      </c>
      <c r="M377" s="20">
        <v>1</v>
      </c>
      <c r="N377" s="20">
        <v>0</v>
      </c>
      <c r="O377" s="20">
        <v>0</v>
      </c>
      <c r="P377" s="20">
        <v>0</v>
      </c>
      <c r="Q377" s="20">
        <v>16</v>
      </c>
      <c r="R377" s="20">
        <v>2</v>
      </c>
      <c r="S377" s="17"/>
      <c r="T377" s="17"/>
      <c r="U377" s="20">
        <v>0</v>
      </c>
      <c r="V377" s="17"/>
      <c r="W377" s="17"/>
      <c r="X377" s="17">
        <v>2</v>
      </c>
      <c r="Y377" s="17">
        <v>2</v>
      </c>
      <c r="Z377" s="17">
        <v>2</v>
      </c>
      <c r="AA377" s="17">
        <v>0</v>
      </c>
      <c r="AB377" s="17">
        <v>0</v>
      </c>
      <c r="AC377" s="17">
        <v>1</v>
      </c>
      <c r="AD377" s="17">
        <v>0</v>
      </c>
      <c r="AE377" s="17">
        <v>1</v>
      </c>
      <c r="AF377" s="17">
        <v>0</v>
      </c>
      <c r="AG377" s="17">
        <v>0</v>
      </c>
      <c r="AH377" s="17">
        <v>0</v>
      </c>
      <c r="AI377" s="17" t="s">
        <v>47</v>
      </c>
      <c r="AJ377" s="17"/>
      <c r="AK377" s="21"/>
    </row>
    <row r="378" spans="1:37" x14ac:dyDescent="0.25">
      <c r="A378" s="12" t="s">
        <v>471</v>
      </c>
      <c r="B378" s="12">
        <v>69</v>
      </c>
      <c r="C378" s="12">
        <v>10</v>
      </c>
      <c r="D378" s="27">
        <v>42681</v>
      </c>
      <c r="E378" s="14">
        <f>[1]!Tabela1[[#This Row],[PSA]]/[1]!Tabela1[[#This Row],[MRI vol]]</f>
        <v>0.2857142857142857</v>
      </c>
      <c r="F378" s="12"/>
      <c r="G378" s="12"/>
      <c r="H378" s="12">
        <v>35</v>
      </c>
      <c r="I378" s="12">
        <v>3</v>
      </c>
      <c r="J378" s="12"/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15</v>
      </c>
      <c r="R378" s="15">
        <v>1</v>
      </c>
      <c r="S378" s="12"/>
      <c r="T378" s="12"/>
      <c r="U378" s="15">
        <v>1</v>
      </c>
      <c r="V378" s="12"/>
      <c r="W378" s="12"/>
      <c r="X378" s="12">
        <v>1</v>
      </c>
      <c r="Y378" s="12">
        <v>1</v>
      </c>
      <c r="Z378" s="12">
        <v>1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 t="s">
        <v>53</v>
      </c>
      <c r="AJ378" s="12"/>
      <c r="AK378" s="16"/>
    </row>
    <row r="379" spans="1:37" x14ac:dyDescent="0.25">
      <c r="A379" s="17" t="s">
        <v>472</v>
      </c>
      <c r="B379" s="17">
        <v>73</v>
      </c>
      <c r="C379" s="17">
        <v>6.5</v>
      </c>
      <c r="D379" s="28">
        <v>42272</v>
      </c>
      <c r="E379" s="19">
        <f>[1]!Tabela1[[#This Row],[PSA]]/[1]!Tabela1[[#This Row],[MRI vol]]</f>
        <v>0.13541666666666666</v>
      </c>
      <c r="F379" s="17"/>
      <c r="G379" s="17"/>
      <c r="H379" s="17">
        <v>48</v>
      </c>
      <c r="I379" s="17">
        <v>5</v>
      </c>
      <c r="J379" s="17"/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10</v>
      </c>
      <c r="R379" s="20">
        <v>0</v>
      </c>
      <c r="S379" s="17"/>
      <c r="T379" s="17"/>
      <c r="U379" s="20">
        <v>2</v>
      </c>
      <c r="V379" s="17"/>
      <c r="W379" s="17"/>
      <c r="X379" s="17">
        <v>1</v>
      </c>
      <c r="Y379" s="17">
        <v>0</v>
      </c>
      <c r="Z379" s="17">
        <v>1</v>
      </c>
      <c r="AA379" s="17">
        <v>0</v>
      </c>
      <c r="AB379" s="17">
        <v>0</v>
      </c>
      <c r="AC379" s="17">
        <v>0</v>
      </c>
      <c r="AD379" s="17">
        <v>0</v>
      </c>
      <c r="AE379" s="17">
        <v>0</v>
      </c>
      <c r="AF379" s="17">
        <v>0</v>
      </c>
      <c r="AG379" s="17">
        <v>0</v>
      </c>
      <c r="AH379" s="17">
        <v>0</v>
      </c>
      <c r="AI379" s="17" t="s">
        <v>130</v>
      </c>
      <c r="AJ379" s="17"/>
      <c r="AK379" s="21"/>
    </row>
    <row r="380" spans="1:37" x14ac:dyDescent="0.25">
      <c r="A380" s="12" t="s">
        <v>473</v>
      </c>
      <c r="B380" s="12">
        <v>64</v>
      </c>
      <c r="C380" s="12">
        <v>6.9</v>
      </c>
      <c r="D380" s="27">
        <v>42739</v>
      </c>
      <c r="E380" s="14">
        <f>[1]!Tabela1[[#This Row],[PSA]]/[1]!Tabela1[[#This Row],[MRI vol]]</f>
        <v>0.31363636363636366</v>
      </c>
      <c r="F380" s="12"/>
      <c r="G380" s="12"/>
      <c r="H380" s="12">
        <v>22</v>
      </c>
      <c r="I380" s="12">
        <v>4</v>
      </c>
      <c r="J380" s="12"/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11</v>
      </c>
      <c r="R380" s="15">
        <v>1</v>
      </c>
      <c r="S380" s="12"/>
      <c r="T380" s="12"/>
      <c r="U380" s="15">
        <v>0</v>
      </c>
      <c r="V380" s="12"/>
      <c r="W380" s="12"/>
      <c r="X380" s="12">
        <v>2</v>
      </c>
      <c r="Y380" s="12">
        <v>2</v>
      </c>
      <c r="Z380" s="12">
        <v>2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 t="s">
        <v>53</v>
      </c>
      <c r="AJ380" s="12"/>
      <c r="AK380" s="16"/>
    </row>
    <row r="381" spans="1:37" x14ac:dyDescent="0.25">
      <c r="A381" s="17" t="s">
        <v>474</v>
      </c>
      <c r="B381" s="17">
        <v>68</v>
      </c>
      <c r="C381" s="17">
        <v>40</v>
      </c>
      <c r="D381" s="28">
        <v>43165</v>
      </c>
      <c r="E381" s="19">
        <f>[1]!Tabela1[[#This Row],[PSA]]/[1]!Tabela1[[#This Row],[MRI vol]]</f>
        <v>0.66666666666666663</v>
      </c>
      <c r="F381" s="17"/>
      <c r="G381" s="17"/>
      <c r="H381" s="17">
        <v>60</v>
      </c>
      <c r="I381" s="17">
        <v>5</v>
      </c>
      <c r="J381" s="17"/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16</v>
      </c>
      <c r="R381" s="20">
        <v>4</v>
      </c>
      <c r="S381" s="17"/>
      <c r="T381" s="17"/>
      <c r="U381" s="20">
        <v>0</v>
      </c>
      <c r="V381" s="17"/>
      <c r="W381" s="17"/>
      <c r="X381" s="17">
        <v>4</v>
      </c>
      <c r="Y381" s="17">
        <v>4</v>
      </c>
      <c r="Z381" s="17">
        <v>4</v>
      </c>
      <c r="AA381" s="17">
        <v>0</v>
      </c>
      <c r="AB381" s="17">
        <v>0</v>
      </c>
      <c r="AC381" s="17">
        <v>0</v>
      </c>
      <c r="AD381" s="17">
        <v>0</v>
      </c>
      <c r="AE381" s="17">
        <v>0</v>
      </c>
      <c r="AF381" s="17">
        <v>0</v>
      </c>
      <c r="AG381" s="17">
        <v>0</v>
      </c>
      <c r="AH381" s="17">
        <v>0</v>
      </c>
      <c r="AI381" s="17" t="s">
        <v>53</v>
      </c>
      <c r="AJ381" s="17"/>
      <c r="AK381" s="21"/>
    </row>
    <row r="382" spans="1:37" x14ac:dyDescent="0.25">
      <c r="A382" s="12" t="s">
        <v>475</v>
      </c>
      <c r="B382" s="12">
        <v>64</v>
      </c>
      <c r="C382" s="12">
        <v>11.6</v>
      </c>
      <c r="D382" s="27">
        <v>42374</v>
      </c>
      <c r="E382" s="14">
        <f>[1]!Tabela1[[#This Row],[PSA]]/[1]!Tabela1[[#This Row],[MRI vol]]</f>
        <v>0.3411764705882353</v>
      </c>
      <c r="F382" s="12"/>
      <c r="G382" s="12"/>
      <c r="H382" s="12">
        <v>34</v>
      </c>
      <c r="I382" s="12">
        <v>5</v>
      </c>
      <c r="J382" s="12"/>
      <c r="K382" s="15">
        <v>1</v>
      </c>
      <c r="L382" s="15">
        <v>1</v>
      </c>
      <c r="M382" s="15">
        <v>1</v>
      </c>
      <c r="N382" s="15">
        <v>0</v>
      </c>
      <c r="O382" s="15">
        <v>0</v>
      </c>
      <c r="P382" s="15">
        <v>0</v>
      </c>
      <c r="Q382" s="15">
        <v>19</v>
      </c>
      <c r="R382" s="15">
        <v>1</v>
      </c>
      <c r="S382" s="12"/>
      <c r="T382" s="12"/>
      <c r="U382" s="15">
        <v>0</v>
      </c>
      <c r="V382" s="12"/>
      <c r="W382" s="12"/>
      <c r="X382" s="12">
        <v>2</v>
      </c>
      <c r="Y382" s="12">
        <v>2</v>
      </c>
      <c r="Z382" s="12">
        <v>1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 t="s">
        <v>53</v>
      </c>
      <c r="AJ382" s="12"/>
      <c r="AK382" s="16"/>
    </row>
    <row r="383" spans="1:37" x14ac:dyDescent="0.25">
      <c r="A383" s="17" t="s">
        <v>476</v>
      </c>
      <c r="B383" s="17">
        <v>64</v>
      </c>
      <c r="C383" s="17">
        <v>10</v>
      </c>
      <c r="D383" s="28">
        <v>43306</v>
      </c>
      <c r="E383" s="19">
        <f>[1]!Tabela1[[#This Row],[PSA]]/[1]!Tabela1[[#This Row],[MRI vol]]</f>
        <v>0.24390243902439024</v>
      </c>
      <c r="F383" s="17"/>
      <c r="G383" s="17"/>
      <c r="H383" s="17">
        <v>41</v>
      </c>
      <c r="I383" s="17">
        <v>4</v>
      </c>
      <c r="J383" s="17"/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7</v>
      </c>
      <c r="R383" s="20">
        <v>0</v>
      </c>
      <c r="S383" s="17"/>
      <c r="T383" s="17"/>
      <c r="U383" s="20">
        <v>1</v>
      </c>
      <c r="V383" s="17"/>
      <c r="W383" s="17"/>
      <c r="X383" s="17">
        <v>4</v>
      </c>
      <c r="Y383" s="17">
        <v>1</v>
      </c>
      <c r="Z383" s="17">
        <v>4</v>
      </c>
      <c r="AA383" s="17">
        <v>0</v>
      </c>
      <c r="AB383" s="17">
        <v>0</v>
      </c>
      <c r="AC383" s="17">
        <v>0</v>
      </c>
      <c r="AD383" s="17">
        <v>0</v>
      </c>
      <c r="AE383" s="17">
        <v>0</v>
      </c>
      <c r="AF383" s="17">
        <v>0</v>
      </c>
      <c r="AG383" s="17">
        <v>0</v>
      </c>
      <c r="AH383" s="17">
        <v>0</v>
      </c>
      <c r="AI383" s="17" t="s">
        <v>53</v>
      </c>
      <c r="AJ383" s="17"/>
      <c r="AK383" s="21"/>
    </row>
    <row r="384" spans="1:37" x14ac:dyDescent="0.25">
      <c r="A384" s="12" t="s">
        <v>477</v>
      </c>
      <c r="B384" s="12">
        <v>67</v>
      </c>
      <c r="C384" s="12">
        <v>4.8</v>
      </c>
      <c r="D384" s="27">
        <v>43343</v>
      </c>
      <c r="E384" s="14">
        <f>[1]!Tabela1[[#This Row],[PSA]]/[1]!Tabela1[[#This Row],[MRI vol]]</f>
        <v>0.17142857142857143</v>
      </c>
      <c r="F384" s="12"/>
      <c r="G384" s="12"/>
      <c r="H384" s="12">
        <v>28</v>
      </c>
      <c r="I384" s="12">
        <v>5</v>
      </c>
      <c r="J384" s="12"/>
      <c r="K384" s="15">
        <v>1</v>
      </c>
      <c r="L384" s="15">
        <v>1</v>
      </c>
      <c r="M384" s="15">
        <v>0</v>
      </c>
      <c r="N384" s="15">
        <v>0</v>
      </c>
      <c r="O384" s="15">
        <v>0</v>
      </c>
      <c r="P384" s="15">
        <v>0</v>
      </c>
      <c r="Q384" s="15">
        <v>28</v>
      </c>
      <c r="R384" s="15">
        <v>0</v>
      </c>
      <c r="S384" s="12"/>
      <c r="T384" s="12"/>
      <c r="U384" s="15">
        <v>1</v>
      </c>
      <c r="V384" s="12"/>
      <c r="W384" s="12"/>
      <c r="X384" s="12">
        <v>3</v>
      </c>
      <c r="Y384" s="12">
        <v>1</v>
      </c>
      <c r="Z384" s="12">
        <v>3</v>
      </c>
      <c r="AA384" s="12">
        <v>0</v>
      </c>
      <c r="AB384" s="12">
        <v>0</v>
      </c>
      <c r="AC384" s="12">
        <v>1</v>
      </c>
      <c r="AD384" s="12">
        <v>1</v>
      </c>
      <c r="AE384" s="12">
        <v>0</v>
      </c>
      <c r="AF384" s="12">
        <v>0</v>
      </c>
      <c r="AG384" s="12">
        <v>0</v>
      </c>
      <c r="AH384" s="12">
        <v>0</v>
      </c>
      <c r="AI384" s="12" t="s">
        <v>47</v>
      </c>
      <c r="AJ384" s="12"/>
      <c r="AK384" s="16"/>
    </row>
    <row r="385" spans="1:37" x14ac:dyDescent="0.25">
      <c r="A385" s="17" t="s">
        <v>478</v>
      </c>
      <c r="B385" s="17">
        <v>64</v>
      </c>
      <c r="C385" s="17">
        <v>7</v>
      </c>
      <c r="D385" s="28">
        <v>43293</v>
      </c>
      <c r="E385" s="19">
        <f>[1]!Tabela1[[#This Row],[PSA]]/[1]!Tabela1[[#This Row],[MRI vol]]</f>
        <v>0.16279069767441862</v>
      </c>
      <c r="F385" s="17"/>
      <c r="G385" s="17"/>
      <c r="H385" s="17">
        <v>43</v>
      </c>
      <c r="I385" s="17">
        <v>4</v>
      </c>
      <c r="J385" s="17"/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8</v>
      </c>
      <c r="R385" s="20">
        <v>1</v>
      </c>
      <c r="S385" s="17"/>
      <c r="T385" s="17"/>
      <c r="U385" s="20">
        <v>0</v>
      </c>
      <c r="V385" s="17"/>
      <c r="W385" s="17"/>
      <c r="X385" s="17">
        <v>1</v>
      </c>
      <c r="Y385" s="17">
        <v>1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  <c r="AE385" s="17">
        <v>0</v>
      </c>
      <c r="AF385" s="17">
        <v>0</v>
      </c>
      <c r="AG385" s="17">
        <v>0</v>
      </c>
      <c r="AH385" s="17">
        <v>0</v>
      </c>
      <c r="AI385" s="17" t="s">
        <v>130</v>
      </c>
      <c r="AJ385" s="17"/>
      <c r="AK385" s="21"/>
    </row>
    <row r="386" spans="1:37" x14ac:dyDescent="0.25">
      <c r="A386" s="12" t="s">
        <v>479</v>
      </c>
      <c r="B386" s="12">
        <v>69</v>
      </c>
      <c r="C386" s="12">
        <v>23</v>
      </c>
      <c r="D386" s="27">
        <v>42453</v>
      </c>
      <c r="E386" s="14">
        <f>[1]!Tabela1[[#This Row],[PSA]]/[1]!Tabela1[[#This Row],[MRI vol]]</f>
        <v>0.54761904761904767</v>
      </c>
      <c r="F386" s="12"/>
      <c r="G386" s="12"/>
      <c r="H386" s="12">
        <v>42</v>
      </c>
      <c r="I386" s="12">
        <v>4</v>
      </c>
      <c r="J386" s="12"/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8</v>
      </c>
      <c r="R386" s="15">
        <v>1</v>
      </c>
      <c r="S386" s="12"/>
      <c r="T386" s="12"/>
      <c r="U386" s="15">
        <v>0</v>
      </c>
      <c r="V386" s="12"/>
      <c r="W386" s="12"/>
      <c r="X386" s="12">
        <v>1</v>
      </c>
      <c r="Y386" s="12">
        <v>1</v>
      </c>
      <c r="Z386" s="12">
        <v>1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 t="s">
        <v>53</v>
      </c>
      <c r="AJ386" s="12"/>
      <c r="AK386" s="16"/>
    </row>
    <row r="387" spans="1:37" x14ac:dyDescent="0.25">
      <c r="A387" s="17" t="s">
        <v>480</v>
      </c>
      <c r="B387" s="17">
        <v>59</v>
      </c>
      <c r="C387" s="17">
        <v>5.3</v>
      </c>
      <c r="D387" s="28">
        <v>42888</v>
      </c>
      <c r="E387" s="19">
        <f>[1]!Tabela1[[#This Row],[PSA]]/[1]!Tabela1[[#This Row],[MRI vol]]</f>
        <v>7.6811594202898542E-2</v>
      </c>
      <c r="F387" s="17"/>
      <c r="G387" s="17"/>
      <c r="H387" s="17">
        <v>69</v>
      </c>
      <c r="I387" s="17">
        <v>4</v>
      </c>
      <c r="J387" s="17"/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9</v>
      </c>
      <c r="R387" s="20">
        <v>1</v>
      </c>
      <c r="S387" s="17"/>
      <c r="T387" s="17"/>
      <c r="U387" s="20">
        <v>1</v>
      </c>
      <c r="V387" s="17"/>
      <c r="W387" s="17"/>
      <c r="X387" s="17">
        <v>2</v>
      </c>
      <c r="Y387" s="17">
        <v>2</v>
      </c>
      <c r="Z387" s="17">
        <v>2</v>
      </c>
      <c r="AA387" s="17">
        <v>0</v>
      </c>
      <c r="AB387" s="17">
        <v>0</v>
      </c>
      <c r="AC387" s="17">
        <v>0</v>
      </c>
      <c r="AD387" s="17">
        <v>0</v>
      </c>
      <c r="AE387" s="17">
        <v>0</v>
      </c>
      <c r="AF387" s="17">
        <v>0</v>
      </c>
      <c r="AG387" s="17">
        <v>0</v>
      </c>
      <c r="AH387" s="17">
        <v>0</v>
      </c>
      <c r="AI387" s="17" t="s">
        <v>53</v>
      </c>
      <c r="AJ387" s="17"/>
      <c r="AK387" s="21"/>
    </row>
    <row r="388" spans="1:37" x14ac:dyDescent="0.25">
      <c r="A388" s="12" t="s">
        <v>481</v>
      </c>
      <c r="B388" s="12">
        <v>65</v>
      </c>
      <c r="C388" s="12">
        <v>14.2</v>
      </c>
      <c r="D388" s="27">
        <v>42426</v>
      </c>
      <c r="E388" s="14">
        <f>[1]!Tabela1[[#This Row],[PSA]]/[1]!Tabela1[[#This Row],[MRI vol]]</f>
        <v>0.61739130434782608</v>
      </c>
      <c r="F388" s="12"/>
      <c r="G388" s="12"/>
      <c r="H388" s="12">
        <v>23</v>
      </c>
      <c r="I388" s="12">
        <v>2</v>
      </c>
      <c r="J388" s="12"/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2"/>
      <c r="R388" s="12"/>
      <c r="S388" s="12"/>
      <c r="T388" s="12"/>
      <c r="U388" s="12"/>
      <c r="V388" s="12"/>
      <c r="W388" s="12"/>
      <c r="X388" s="12">
        <v>2</v>
      </c>
      <c r="Y388" s="12">
        <v>2</v>
      </c>
      <c r="Z388" s="12">
        <v>2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 t="s">
        <v>53</v>
      </c>
      <c r="AJ388" s="12"/>
      <c r="AK388" s="16"/>
    </row>
    <row r="389" spans="1:37" x14ac:dyDescent="0.25">
      <c r="A389" s="17" t="s">
        <v>482</v>
      </c>
      <c r="B389" s="17">
        <v>66</v>
      </c>
      <c r="C389" s="17">
        <v>13.1</v>
      </c>
      <c r="D389" s="28">
        <v>43182</v>
      </c>
      <c r="E389" s="19">
        <f>[1]!Tabela1[[#This Row],[PSA]]/[1]!Tabela1[[#This Row],[MRI vol]]</f>
        <v>0.22586206896551725</v>
      </c>
      <c r="F389" s="17"/>
      <c r="G389" s="17"/>
      <c r="H389" s="17">
        <v>58</v>
      </c>
      <c r="I389" s="17">
        <v>3</v>
      </c>
      <c r="J389" s="17"/>
      <c r="K389" s="20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16</v>
      </c>
      <c r="R389" s="20">
        <v>2</v>
      </c>
      <c r="S389" s="17"/>
      <c r="T389" s="17"/>
      <c r="U389" s="20">
        <v>0</v>
      </c>
      <c r="V389" s="17"/>
      <c r="W389" s="17"/>
      <c r="X389" s="17">
        <v>4</v>
      </c>
      <c r="Y389" s="17">
        <v>4</v>
      </c>
      <c r="Z389" s="17">
        <v>4</v>
      </c>
      <c r="AA389" s="17">
        <v>0</v>
      </c>
      <c r="AB389" s="17">
        <v>1</v>
      </c>
      <c r="AC389" s="17">
        <v>0</v>
      </c>
      <c r="AD389" s="17">
        <v>0</v>
      </c>
      <c r="AE389" s="17">
        <v>0</v>
      </c>
      <c r="AF389" s="17">
        <v>1</v>
      </c>
      <c r="AG389" s="17">
        <v>1</v>
      </c>
      <c r="AH389" s="17">
        <v>0</v>
      </c>
      <c r="AI389" s="17" t="s">
        <v>72</v>
      </c>
      <c r="AJ389" s="17"/>
      <c r="AK389" s="21"/>
    </row>
    <row r="390" spans="1:37" x14ac:dyDescent="0.25">
      <c r="A390" s="12" t="s">
        <v>483</v>
      </c>
      <c r="B390" s="12">
        <v>71</v>
      </c>
      <c r="C390" s="12">
        <v>5</v>
      </c>
      <c r="D390" s="27">
        <v>43542</v>
      </c>
      <c r="E390" s="14">
        <f>[1]!Tabela1[[#This Row],[PSA]]/[1]!Tabela1[[#This Row],[MRI vol]]</f>
        <v>0.11904761904761904</v>
      </c>
      <c r="F390" s="12"/>
      <c r="G390" s="12"/>
      <c r="H390" s="12">
        <v>42</v>
      </c>
      <c r="I390" s="12">
        <v>3</v>
      </c>
      <c r="J390" s="12"/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9</v>
      </c>
      <c r="R390" s="15">
        <v>1</v>
      </c>
      <c r="S390" s="12"/>
      <c r="T390" s="12"/>
      <c r="U390" s="15">
        <v>2</v>
      </c>
      <c r="V390" s="12"/>
      <c r="W390" s="12"/>
      <c r="X390" s="12">
        <v>2</v>
      </c>
      <c r="Y390" s="12">
        <v>2</v>
      </c>
      <c r="Z390" s="12">
        <v>2</v>
      </c>
      <c r="AA390" s="12">
        <v>1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 t="s">
        <v>53</v>
      </c>
      <c r="AJ390" s="12"/>
      <c r="AK390" s="16"/>
    </row>
    <row r="391" spans="1:37" x14ac:dyDescent="0.25">
      <c r="A391" s="17" t="s">
        <v>484</v>
      </c>
      <c r="B391" s="17">
        <v>62</v>
      </c>
      <c r="C391" s="17">
        <v>8.9</v>
      </c>
      <c r="D391" s="28">
        <v>43382</v>
      </c>
      <c r="E391" s="19">
        <f>[1]!Tabela1[[#This Row],[PSA]]/[1]!Tabela1[[#This Row],[MRI vol]]</f>
        <v>0.21707317073170732</v>
      </c>
      <c r="F391" s="17"/>
      <c r="G391" s="17"/>
      <c r="H391" s="17">
        <v>41</v>
      </c>
      <c r="I391" s="17">
        <v>5</v>
      </c>
      <c r="J391" s="17"/>
      <c r="K391" s="20">
        <v>0</v>
      </c>
      <c r="L391" s="20">
        <v>0</v>
      </c>
      <c r="M391" s="20">
        <v>0</v>
      </c>
      <c r="N391" s="20">
        <v>1</v>
      </c>
      <c r="O391" s="20">
        <v>1</v>
      </c>
      <c r="P391" s="20">
        <v>0</v>
      </c>
      <c r="Q391" s="20">
        <v>18</v>
      </c>
      <c r="R391" s="20">
        <v>0</v>
      </c>
      <c r="S391" s="17"/>
      <c r="T391" s="17"/>
      <c r="U391" s="20">
        <v>1</v>
      </c>
      <c r="V391" s="17"/>
      <c r="W391" s="17"/>
      <c r="X391" s="17">
        <v>2</v>
      </c>
      <c r="Y391" s="17">
        <v>1</v>
      </c>
      <c r="Z391" s="17">
        <v>2</v>
      </c>
      <c r="AA391" s="17">
        <v>0</v>
      </c>
      <c r="AB391" s="17">
        <v>0</v>
      </c>
      <c r="AC391" s="17">
        <v>0</v>
      </c>
      <c r="AD391" s="17">
        <v>0</v>
      </c>
      <c r="AE391" s="17">
        <v>0</v>
      </c>
      <c r="AF391" s="17">
        <v>0</v>
      </c>
      <c r="AG391" s="17">
        <v>0</v>
      </c>
      <c r="AH391" s="17">
        <v>0</v>
      </c>
      <c r="AI391" s="17" t="s">
        <v>53</v>
      </c>
      <c r="AJ391" s="17"/>
      <c r="AK391" s="21"/>
    </row>
    <row r="392" spans="1:37" x14ac:dyDescent="0.25">
      <c r="A392" s="12" t="s">
        <v>485</v>
      </c>
      <c r="B392" s="12">
        <v>67</v>
      </c>
      <c r="C392" s="12">
        <v>4</v>
      </c>
      <c r="D392" s="27">
        <v>43118</v>
      </c>
      <c r="E392" s="14">
        <f>[1]!Tabela1[[#This Row],[PSA]]/[1]!Tabela1[[#This Row],[MRI vol]]</f>
        <v>0.13333333333333333</v>
      </c>
      <c r="F392" s="12"/>
      <c r="G392" s="12"/>
      <c r="H392" s="12">
        <v>30</v>
      </c>
      <c r="I392" s="12">
        <v>5</v>
      </c>
      <c r="J392" s="12"/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27</v>
      </c>
      <c r="R392" s="15">
        <v>0</v>
      </c>
      <c r="S392" s="12"/>
      <c r="T392" s="12"/>
      <c r="U392" s="15">
        <v>2</v>
      </c>
      <c r="V392" s="12"/>
      <c r="W392" s="12"/>
      <c r="X392" s="12">
        <v>3</v>
      </c>
      <c r="Y392" s="12">
        <v>3</v>
      </c>
      <c r="Z392" s="12">
        <v>3</v>
      </c>
      <c r="AA392" s="12">
        <v>0</v>
      </c>
      <c r="AB392" s="12">
        <v>0</v>
      </c>
      <c r="AC392" s="12">
        <v>1</v>
      </c>
      <c r="AD392" s="12">
        <v>1</v>
      </c>
      <c r="AE392" s="12">
        <v>0</v>
      </c>
      <c r="AF392" s="12">
        <v>0</v>
      </c>
      <c r="AG392" s="12">
        <v>0</v>
      </c>
      <c r="AH392" s="12">
        <v>0</v>
      </c>
      <c r="AI392" s="12" t="s">
        <v>47</v>
      </c>
      <c r="AJ392" s="12"/>
      <c r="AK392" s="16"/>
    </row>
    <row r="393" spans="1:37" x14ac:dyDescent="0.25">
      <c r="A393" s="17" t="s">
        <v>486</v>
      </c>
      <c r="B393" s="17">
        <v>71</v>
      </c>
      <c r="C393" s="17">
        <v>5.2</v>
      </c>
      <c r="D393" s="28">
        <v>44125</v>
      </c>
      <c r="E393" s="19">
        <f>[1]!Tabela1[[#This Row],[PSA]]/[1]!Tabela1[[#This Row],[MRI vol]]</f>
        <v>5.0485436893203887E-2</v>
      </c>
      <c r="F393" s="17"/>
      <c r="G393" s="17"/>
      <c r="H393" s="17">
        <v>103</v>
      </c>
      <c r="I393" s="17">
        <v>2</v>
      </c>
      <c r="J393" s="17"/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17"/>
      <c r="R393" s="20">
        <v>0</v>
      </c>
      <c r="S393" s="17"/>
      <c r="T393" s="17"/>
      <c r="U393" s="20">
        <v>1</v>
      </c>
      <c r="V393" s="17"/>
      <c r="W393" s="17"/>
      <c r="X393" s="17">
        <v>2</v>
      </c>
      <c r="Y393" s="17">
        <v>2</v>
      </c>
      <c r="Z393" s="17">
        <v>0</v>
      </c>
      <c r="AA393" s="17">
        <v>0</v>
      </c>
      <c r="AB393" s="17">
        <v>0</v>
      </c>
      <c r="AC393" s="17">
        <v>1</v>
      </c>
      <c r="AD393" s="17">
        <v>0</v>
      </c>
      <c r="AE393" s="17">
        <v>1</v>
      </c>
      <c r="AF393" s="17">
        <v>0</v>
      </c>
      <c r="AG393" s="17">
        <v>0</v>
      </c>
      <c r="AH393" s="17">
        <v>0</v>
      </c>
      <c r="AI393" s="17" t="s">
        <v>47</v>
      </c>
      <c r="AJ393" s="17"/>
      <c r="AK393" s="21"/>
    </row>
    <row r="394" spans="1:37" x14ac:dyDescent="0.25">
      <c r="A394" s="12" t="s">
        <v>487</v>
      </c>
      <c r="B394" s="12">
        <v>73</v>
      </c>
      <c r="C394" s="12">
        <v>5.0999999999999996</v>
      </c>
      <c r="D394" s="27">
        <v>43963</v>
      </c>
      <c r="E394" s="14">
        <f>[1]!Tabela1[[#This Row],[PSA]]/[1]!Tabela1[[#This Row],[MRI vol]]</f>
        <v>0.10408163265306122</v>
      </c>
      <c r="F394" s="12"/>
      <c r="G394" s="12"/>
      <c r="H394" s="12">
        <v>49</v>
      </c>
      <c r="I394" s="12">
        <v>3</v>
      </c>
      <c r="J394" s="12"/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7</v>
      </c>
      <c r="R394" s="15">
        <v>0</v>
      </c>
      <c r="S394" s="12"/>
      <c r="T394" s="12"/>
      <c r="U394" s="15">
        <v>1</v>
      </c>
      <c r="V394" s="12"/>
      <c r="W394" s="12"/>
      <c r="X394" s="12">
        <v>2</v>
      </c>
      <c r="Y394" s="12">
        <v>2</v>
      </c>
      <c r="Z394" s="12">
        <v>2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 t="s">
        <v>53</v>
      </c>
      <c r="AJ394" s="12"/>
      <c r="AK394" s="16"/>
    </row>
    <row r="395" spans="1:37" x14ac:dyDescent="0.25">
      <c r="A395" s="17" t="s">
        <v>488</v>
      </c>
      <c r="B395" s="17">
        <v>71</v>
      </c>
      <c r="C395" s="17">
        <v>7.1</v>
      </c>
      <c r="D395" s="28">
        <v>42999</v>
      </c>
      <c r="E395" s="19">
        <f>[1]!Tabela1[[#This Row],[PSA]]/[1]!Tabela1[[#This Row],[MRI vol]]</f>
        <v>9.8611111111111108E-2</v>
      </c>
      <c r="F395" s="17"/>
      <c r="G395" s="17"/>
      <c r="H395" s="17">
        <v>72</v>
      </c>
      <c r="I395" s="17">
        <v>5</v>
      </c>
      <c r="J395" s="17"/>
      <c r="K395" s="20">
        <v>1</v>
      </c>
      <c r="L395" s="20">
        <v>1</v>
      </c>
      <c r="M395" s="20">
        <v>1</v>
      </c>
      <c r="N395" s="20">
        <v>0</v>
      </c>
      <c r="O395" s="20">
        <v>0</v>
      </c>
      <c r="P395" s="20">
        <v>0</v>
      </c>
      <c r="Q395" s="20">
        <v>30</v>
      </c>
      <c r="R395" s="20">
        <v>0</v>
      </c>
      <c r="S395" s="17"/>
      <c r="T395" s="17"/>
      <c r="U395" s="20">
        <v>3</v>
      </c>
      <c r="V395" s="17"/>
      <c r="W395" s="17"/>
      <c r="X395" s="17">
        <v>4</v>
      </c>
      <c r="Y395" s="17">
        <v>4</v>
      </c>
      <c r="Z395" s="17">
        <v>4</v>
      </c>
      <c r="AA395" s="17">
        <v>0</v>
      </c>
      <c r="AB395" s="17">
        <v>1</v>
      </c>
      <c r="AC395" s="17">
        <v>0</v>
      </c>
      <c r="AD395" s="17">
        <v>0</v>
      </c>
      <c r="AE395" s="17">
        <v>0</v>
      </c>
      <c r="AF395" s="17">
        <v>0</v>
      </c>
      <c r="AG395" s="17">
        <v>0</v>
      </c>
      <c r="AH395" s="17">
        <v>0</v>
      </c>
      <c r="AI395" s="17" t="s">
        <v>53</v>
      </c>
      <c r="AJ395" s="17"/>
      <c r="AK395" s="21"/>
    </row>
    <row r="396" spans="1:37" x14ac:dyDescent="0.25">
      <c r="A396" s="12" t="s">
        <v>489</v>
      </c>
      <c r="B396" s="12">
        <v>63</v>
      </c>
      <c r="C396" s="12">
        <v>8.5</v>
      </c>
      <c r="D396" s="27">
        <v>43117</v>
      </c>
      <c r="E396" s="14">
        <f>[1]!Tabela1[[#This Row],[PSA]]/[1]!Tabela1[[#This Row],[MRI vol]]</f>
        <v>0.17708333333333334</v>
      </c>
      <c r="F396" s="12"/>
      <c r="G396" s="12"/>
      <c r="H396" s="12">
        <v>48</v>
      </c>
      <c r="I396" s="12">
        <v>5</v>
      </c>
      <c r="J396" s="12"/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19</v>
      </c>
      <c r="R396" s="15">
        <v>1</v>
      </c>
      <c r="S396" s="12"/>
      <c r="T396" s="12"/>
      <c r="U396" s="15">
        <v>0</v>
      </c>
      <c r="V396" s="12"/>
      <c r="W396" s="12"/>
      <c r="X396" s="12">
        <v>4</v>
      </c>
      <c r="Y396" s="12">
        <v>4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 t="s">
        <v>182</v>
      </c>
      <c r="AJ396" s="12"/>
      <c r="AK396" s="16"/>
    </row>
    <row r="397" spans="1:37" x14ac:dyDescent="0.25">
      <c r="A397" s="17" t="s">
        <v>490</v>
      </c>
      <c r="B397" s="17">
        <v>67</v>
      </c>
      <c r="C397" s="17">
        <v>12.5</v>
      </c>
      <c r="D397" s="28">
        <v>44154</v>
      </c>
      <c r="E397" s="19">
        <f>[1]!Tabela1[[#This Row],[PSA]]/[1]!Tabela1[[#This Row],[MRI vol]]</f>
        <v>0.15060240963855423</v>
      </c>
      <c r="F397" s="17"/>
      <c r="G397" s="17"/>
      <c r="H397" s="17">
        <v>83</v>
      </c>
      <c r="I397" s="17">
        <v>4</v>
      </c>
      <c r="J397" s="17"/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10</v>
      </c>
      <c r="R397" s="20">
        <v>0</v>
      </c>
      <c r="S397" s="17"/>
      <c r="T397" s="17"/>
      <c r="U397" s="20">
        <v>1</v>
      </c>
      <c r="V397" s="17"/>
      <c r="W397" s="17"/>
      <c r="X397" s="17">
        <v>2</v>
      </c>
      <c r="Y397" s="17">
        <v>2</v>
      </c>
      <c r="Z397" s="17">
        <v>2</v>
      </c>
      <c r="AA397" s="17">
        <v>0</v>
      </c>
      <c r="AB397" s="17">
        <v>0</v>
      </c>
      <c r="AC397" s="17">
        <v>1</v>
      </c>
      <c r="AD397" s="17">
        <v>1</v>
      </c>
      <c r="AE397" s="17">
        <v>0</v>
      </c>
      <c r="AF397" s="17">
        <v>0</v>
      </c>
      <c r="AG397" s="17">
        <v>0</v>
      </c>
      <c r="AH397" s="17">
        <v>0</v>
      </c>
      <c r="AI397" s="17" t="s">
        <v>47</v>
      </c>
      <c r="AJ397" s="17"/>
      <c r="AK397" s="21"/>
    </row>
    <row r="398" spans="1:37" x14ac:dyDescent="0.25">
      <c r="A398" s="12" t="s">
        <v>491</v>
      </c>
      <c r="B398" s="12">
        <v>68</v>
      </c>
      <c r="C398" s="12">
        <v>11</v>
      </c>
      <c r="D398" s="27">
        <v>43087</v>
      </c>
      <c r="E398" s="14">
        <f>[1]!Tabela1[[#This Row],[PSA]]/[1]!Tabela1[[#This Row],[MRI vol]]</f>
        <v>0.13750000000000001</v>
      </c>
      <c r="F398" s="12"/>
      <c r="G398" s="12"/>
      <c r="H398" s="12">
        <v>80</v>
      </c>
      <c r="I398" s="12">
        <v>5</v>
      </c>
      <c r="J398" s="12"/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15</v>
      </c>
      <c r="R398" s="15">
        <v>3</v>
      </c>
      <c r="S398" s="12"/>
      <c r="T398" s="12"/>
      <c r="U398" s="15">
        <v>0</v>
      </c>
      <c r="V398" s="12"/>
      <c r="W398" s="12"/>
      <c r="X398" s="12">
        <v>3</v>
      </c>
      <c r="Y398" s="12">
        <v>0</v>
      </c>
      <c r="Z398" s="12">
        <v>3</v>
      </c>
      <c r="AA398" s="12">
        <v>0</v>
      </c>
      <c r="AB398" s="12">
        <v>0</v>
      </c>
      <c r="AC398" s="12">
        <v>1</v>
      </c>
      <c r="AD398" s="12">
        <v>1</v>
      </c>
      <c r="AE398" s="12">
        <v>0</v>
      </c>
      <c r="AF398" s="12">
        <v>0</v>
      </c>
      <c r="AG398" s="12">
        <v>0</v>
      </c>
      <c r="AH398" s="12">
        <v>0</v>
      </c>
      <c r="AI398" s="12" t="s">
        <v>47</v>
      </c>
      <c r="AJ398" s="12"/>
      <c r="AK398" s="16"/>
    </row>
    <row r="399" spans="1:37" x14ac:dyDescent="0.25">
      <c r="A399" s="17" t="s">
        <v>492</v>
      </c>
      <c r="B399" s="17">
        <v>57</v>
      </c>
      <c r="C399" s="17">
        <v>7.6</v>
      </c>
      <c r="D399" s="28">
        <v>43188</v>
      </c>
      <c r="E399" s="19">
        <f>[1]!Tabela1[[#This Row],[PSA]]/[1]!Tabela1[[#This Row],[MRI vol]]</f>
        <v>9.8701298701298693E-2</v>
      </c>
      <c r="F399" s="17"/>
      <c r="G399" s="17"/>
      <c r="H399" s="17">
        <v>77</v>
      </c>
      <c r="I399" s="17">
        <v>3</v>
      </c>
      <c r="J399" s="17"/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34</v>
      </c>
      <c r="R399" s="20">
        <v>1</v>
      </c>
      <c r="S399" s="17"/>
      <c r="T399" s="17"/>
      <c r="U399" s="20">
        <v>1</v>
      </c>
      <c r="V399" s="17"/>
      <c r="W399" s="17"/>
      <c r="X399" s="17">
        <v>2</v>
      </c>
      <c r="Y399" s="17">
        <v>2</v>
      </c>
      <c r="Z399" s="17">
        <v>2</v>
      </c>
      <c r="AA399" s="17">
        <v>0</v>
      </c>
      <c r="AB399" s="17">
        <v>0</v>
      </c>
      <c r="AC399" s="17">
        <v>0</v>
      </c>
      <c r="AD399" s="17">
        <v>0</v>
      </c>
      <c r="AE399" s="17">
        <v>0</v>
      </c>
      <c r="AF399" s="17">
        <v>0</v>
      </c>
      <c r="AG399" s="17">
        <v>0</v>
      </c>
      <c r="AH399" s="17">
        <v>0</v>
      </c>
      <c r="AI399" s="17" t="s">
        <v>53</v>
      </c>
      <c r="AJ399" s="17"/>
      <c r="AK399" s="21"/>
    </row>
    <row r="400" spans="1:37" x14ac:dyDescent="0.25">
      <c r="A400" s="12" t="s">
        <v>493</v>
      </c>
      <c r="B400" s="12">
        <v>71</v>
      </c>
      <c r="C400" s="12">
        <v>12.1</v>
      </c>
      <c r="D400" s="27">
        <v>42782</v>
      </c>
      <c r="E400" s="14">
        <f>[1]!Tabela1[[#This Row],[PSA]]/[1]!Tabela1[[#This Row],[MRI vol]]</f>
        <v>0.2688888888888889</v>
      </c>
      <c r="F400" s="12"/>
      <c r="G400" s="12"/>
      <c r="H400" s="12">
        <v>45</v>
      </c>
      <c r="I400" s="12">
        <v>4</v>
      </c>
      <c r="J400" s="12"/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7</v>
      </c>
      <c r="R400" s="15">
        <v>1</v>
      </c>
      <c r="S400" s="12"/>
      <c r="T400" s="12"/>
      <c r="U400" s="15">
        <v>0</v>
      </c>
      <c r="V400" s="12"/>
      <c r="W400" s="12"/>
      <c r="X400" s="12">
        <v>1</v>
      </c>
      <c r="Y400" s="12">
        <v>1</v>
      </c>
      <c r="Z400" s="12">
        <v>1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 t="s">
        <v>53</v>
      </c>
      <c r="AJ400" s="12"/>
      <c r="AK400" s="16"/>
    </row>
    <row r="401" spans="1:37" x14ac:dyDescent="0.25">
      <c r="A401" s="31" t="s">
        <v>494</v>
      </c>
      <c r="B401" s="17">
        <v>71</v>
      </c>
      <c r="C401" s="17">
        <v>9</v>
      </c>
      <c r="D401" s="28">
        <v>43249</v>
      </c>
      <c r="E401" s="19">
        <f>[1]!Tabela1[[#This Row],[PSA]]/[1]!Tabela1[[#This Row],[MRI vol]]</f>
        <v>0.21951219512195122</v>
      </c>
      <c r="F401" s="17"/>
      <c r="G401" s="17"/>
      <c r="H401" s="17">
        <v>41</v>
      </c>
      <c r="I401" s="17">
        <v>4</v>
      </c>
      <c r="J401" s="17"/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10</v>
      </c>
      <c r="R401" s="20">
        <v>0</v>
      </c>
      <c r="S401" s="17"/>
      <c r="T401" s="17"/>
      <c r="U401" s="20">
        <v>2</v>
      </c>
      <c r="V401" s="17"/>
      <c r="W401" s="17"/>
      <c r="X401" s="17">
        <v>2</v>
      </c>
      <c r="Y401" s="17">
        <v>2</v>
      </c>
      <c r="Z401" s="17">
        <v>2</v>
      </c>
      <c r="AA401" s="17">
        <v>0</v>
      </c>
      <c r="AB401" s="17">
        <v>0</v>
      </c>
      <c r="AC401" s="17">
        <v>0</v>
      </c>
      <c r="AD401" s="17">
        <v>0</v>
      </c>
      <c r="AE401" s="17">
        <v>0</v>
      </c>
      <c r="AF401" s="17">
        <v>0</v>
      </c>
      <c r="AG401" s="17">
        <v>0</v>
      </c>
      <c r="AH401" s="17">
        <v>0</v>
      </c>
      <c r="AI401" s="17" t="s">
        <v>53</v>
      </c>
      <c r="AJ401" s="17"/>
      <c r="AK401" s="21"/>
    </row>
    <row r="402" spans="1:37" x14ac:dyDescent="0.25">
      <c r="A402" s="31" t="s">
        <v>495</v>
      </c>
      <c r="B402" s="12">
        <v>67</v>
      </c>
      <c r="C402" s="12">
        <v>33.6</v>
      </c>
      <c r="D402" s="27">
        <v>42424</v>
      </c>
      <c r="E402" s="14">
        <f>[1]!Tabela1[[#This Row],[PSA]]/[1]!Tabela1[[#This Row],[MRI vol]]</f>
        <v>0.93333333333333335</v>
      </c>
      <c r="F402" s="12"/>
      <c r="G402" s="12"/>
      <c r="H402" s="12">
        <v>36</v>
      </c>
      <c r="I402" s="12">
        <v>5</v>
      </c>
      <c r="J402" s="12"/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11</v>
      </c>
      <c r="R402" s="15">
        <v>1</v>
      </c>
      <c r="S402" s="12"/>
      <c r="T402" s="12"/>
      <c r="U402" s="15">
        <v>1</v>
      </c>
      <c r="V402" s="12"/>
      <c r="W402" s="12"/>
      <c r="X402" s="12">
        <v>3</v>
      </c>
      <c r="Y402" s="12">
        <v>3</v>
      </c>
      <c r="Z402" s="12">
        <v>3</v>
      </c>
      <c r="AA402" s="12">
        <v>1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 t="s">
        <v>53</v>
      </c>
      <c r="AJ402" s="12"/>
      <c r="AK402" s="16"/>
    </row>
    <row r="403" spans="1:37" x14ac:dyDescent="0.25">
      <c r="A403" s="31" t="s">
        <v>496</v>
      </c>
      <c r="B403" s="17">
        <v>51</v>
      </c>
      <c r="C403" s="17">
        <v>8.5</v>
      </c>
      <c r="D403" s="28">
        <v>42250</v>
      </c>
      <c r="E403" s="19">
        <f>[1]!Tabela1[[#This Row],[PSA]]/[1]!Tabela1[[#This Row],[MRI vol]]</f>
        <v>0.34</v>
      </c>
      <c r="F403" s="17"/>
      <c r="G403" s="17"/>
      <c r="H403" s="17">
        <v>25</v>
      </c>
      <c r="I403" s="17">
        <v>4</v>
      </c>
      <c r="J403" s="17"/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11</v>
      </c>
      <c r="R403" s="20">
        <v>1</v>
      </c>
      <c r="S403" s="17"/>
      <c r="T403" s="17"/>
      <c r="U403" s="20">
        <v>1</v>
      </c>
      <c r="V403" s="17"/>
      <c r="W403" s="17"/>
      <c r="X403" s="17">
        <v>1</v>
      </c>
      <c r="Y403" s="17">
        <v>1</v>
      </c>
      <c r="Z403" s="17">
        <v>1</v>
      </c>
      <c r="AA403" s="17">
        <v>1</v>
      </c>
      <c r="AB403" s="17">
        <v>0</v>
      </c>
      <c r="AC403" s="17">
        <v>0</v>
      </c>
      <c r="AD403" s="17">
        <v>0</v>
      </c>
      <c r="AE403" s="17">
        <v>0</v>
      </c>
      <c r="AF403" s="17">
        <v>0</v>
      </c>
      <c r="AG403" s="17">
        <v>0</v>
      </c>
      <c r="AH403" s="17">
        <v>0</v>
      </c>
      <c r="AI403" s="17" t="s">
        <v>53</v>
      </c>
      <c r="AJ403" s="17"/>
      <c r="AK403" s="21"/>
    </row>
    <row r="404" spans="1:37" x14ac:dyDescent="0.25">
      <c r="A404" s="31" t="s">
        <v>497</v>
      </c>
      <c r="B404" s="12">
        <v>65</v>
      </c>
      <c r="C404" s="12">
        <v>5.6</v>
      </c>
      <c r="D404" s="27">
        <v>42921</v>
      </c>
      <c r="E404" s="14">
        <f>[1]!Tabela1[[#This Row],[PSA]]/[1]!Tabela1[[#This Row],[MRI vol]]</f>
        <v>0.18666666666666665</v>
      </c>
      <c r="F404" s="12"/>
      <c r="G404" s="12"/>
      <c r="H404" s="12">
        <v>30</v>
      </c>
      <c r="I404" s="12">
        <v>4</v>
      </c>
      <c r="J404" s="12"/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7</v>
      </c>
      <c r="R404" s="15">
        <v>2</v>
      </c>
      <c r="S404" s="12"/>
      <c r="T404" s="12"/>
      <c r="U404" s="15">
        <v>3</v>
      </c>
      <c r="V404" s="12"/>
      <c r="W404" s="12"/>
      <c r="X404" s="12">
        <v>3</v>
      </c>
      <c r="Y404" s="12">
        <v>3</v>
      </c>
      <c r="Z404" s="12">
        <v>3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 t="s">
        <v>53</v>
      </c>
      <c r="AJ404" s="12"/>
      <c r="AK404" s="16"/>
    </row>
    <row r="405" spans="1:37" x14ac:dyDescent="0.25">
      <c r="A405" s="32" t="s">
        <v>498</v>
      </c>
      <c r="B405" s="17">
        <v>55</v>
      </c>
      <c r="C405" s="17">
        <v>8.1</v>
      </c>
      <c r="D405" s="28">
        <v>42558</v>
      </c>
      <c r="E405" s="19">
        <f>[1]!Tabela1[[#This Row],[PSA]]/[1]!Tabela1[[#This Row],[MRI vol]]</f>
        <v>0.27931034482758621</v>
      </c>
      <c r="F405" s="17"/>
      <c r="G405" s="17"/>
      <c r="H405" s="17">
        <v>29</v>
      </c>
      <c r="I405" s="17">
        <v>5</v>
      </c>
      <c r="J405" s="17"/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9</v>
      </c>
      <c r="R405" s="20">
        <v>2</v>
      </c>
      <c r="S405" s="17"/>
      <c r="T405" s="17"/>
      <c r="U405" s="20">
        <v>1</v>
      </c>
      <c r="V405" s="17"/>
      <c r="W405" s="17"/>
      <c r="X405" s="17">
        <v>3</v>
      </c>
      <c r="Y405" s="17">
        <v>3</v>
      </c>
      <c r="Z405" s="17">
        <v>3</v>
      </c>
      <c r="AA405" s="17">
        <v>0</v>
      </c>
      <c r="AB405" s="17">
        <v>0</v>
      </c>
      <c r="AC405" s="17">
        <v>0</v>
      </c>
      <c r="AD405" s="17">
        <v>0</v>
      </c>
      <c r="AE405" s="17">
        <v>0</v>
      </c>
      <c r="AF405" s="17">
        <v>0</v>
      </c>
      <c r="AG405" s="17">
        <v>0</v>
      </c>
      <c r="AH405" s="17">
        <v>0</v>
      </c>
      <c r="AI405" s="17" t="s">
        <v>53</v>
      </c>
      <c r="AJ405" s="17"/>
      <c r="AK405" s="21"/>
    </row>
    <row r="406" spans="1:37" x14ac:dyDescent="0.25">
      <c r="A406" s="32" t="s">
        <v>499</v>
      </c>
      <c r="B406" s="12"/>
      <c r="C406" s="12"/>
      <c r="D406" s="27"/>
      <c r="E406" s="14" t="e">
        <f>[1]!Tabela1[[#This Row],[PSA]]/[1]!Tabela1[[#This Row],[MRI vol]]</f>
        <v>#DIV/0!</v>
      </c>
      <c r="F406" s="12"/>
      <c r="G406" s="12"/>
      <c r="H406" s="12"/>
      <c r="I406" s="12"/>
      <c r="J406" s="12"/>
      <c r="K406" s="15"/>
      <c r="L406" s="15"/>
      <c r="M406" s="15"/>
      <c r="N406" s="15"/>
      <c r="O406" s="15"/>
      <c r="P406" s="15"/>
      <c r="Q406" s="15"/>
      <c r="R406" s="15"/>
      <c r="S406" s="12"/>
      <c r="T406" s="12"/>
      <c r="U406" s="15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6"/>
    </row>
    <row r="407" spans="1:37" x14ac:dyDescent="0.25">
      <c r="A407" s="33" t="s">
        <v>500</v>
      </c>
      <c r="B407" s="17"/>
      <c r="C407" s="17"/>
      <c r="D407" s="28"/>
      <c r="E407" s="19" t="e">
        <f>[1]!Tabela1[[#This Row],[PSA]]/[1]!Tabela1[[#This Row],[MRI vol]]</f>
        <v>#DIV/0!</v>
      </c>
      <c r="F407" s="17"/>
      <c r="G407" s="17"/>
      <c r="H407" s="17"/>
      <c r="I407" s="17"/>
      <c r="J407" s="17"/>
      <c r="K407" s="20"/>
      <c r="L407" s="20"/>
      <c r="M407" s="20"/>
      <c r="N407" s="20"/>
      <c r="O407" s="20"/>
      <c r="P407" s="20"/>
      <c r="Q407" s="20"/>
      <c r="R407" s="20"/>
      <c r="S407" s="17"/>
      <c r="T407" s="17"/>
      <c r="U407" s="20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21"/>
    </row>
    <row r="408" spans="1:37" x14ac:dyDescent="0.25">
      <c r="A408" s="33" t="s">
        <v>501</v>
      </c>
      <c r="B408" s="12"/>
      <c r="C408" s="12"/>
      <c r="D408" s="27"/>
      <c r="E408" s="14" t="e">
        <f>[1]!Tabela1[[#This Row],[PSA]]/[1]!Tabela1[[#This Row],[MRI vol]]</f>
        <v>#DIV/0!</v>
      </c>
      <c r="F408" s="12"/>
      <c r="G408" s="12"/>
      <c r="H408" s="12"/>
      <c r="I408" s="12"/>
      <c r="J408" s="12"/>
      <c r="K408" s="15"/>
      <c r="L408" s="15"/>
      <c r="M408" s="15"/>
      <c r="N408" s="15"/>
      <c r="O408" s="15"/>
      <c r="P408" s="15"/>
      <c r="Q408" s="15"/>
      <c r="R408" s="15"/>
      <c r="S408" s="12"/>
      <c r="T408" s="12"/>
      <c r="U408" s="15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6"/>
    </row>
    <row r="409" spans="1:37" x14ac:dyDescent="0.25">
      <c r="A409" s="32" t="s">
        <v>502</v>
      </c>
      <c r="B409" s="17"/>
      <c r="C409" s="17"/>
      <c r="D409" s="28"/>
      <c r="E409" s="19" t="e">
        <f>[1]!Tabela1[[#This Row],[PSA]]/[1]!Tabela1[[#This Row],[MRI vol]]</f>
        <v>#DIV/0!</v>
      </c>
      <c r="F409" s="17"/>
      <c r="G409" s="17"/>
      <c r="H409" s="17"/>
      <c r="I409" s="17"/>
      <c r="J409" s="17"/>
      <c r="K409" s="20"/>
      <c r="L409" s="20"/>
      <c r="M409" s="20"/>
      <c r="N409" s="20"/>
      <c r="O409" s="20"/>
      <c r="P409" s="20"/>
      <c r="Q409" s="20"/>
      <c r="R409" s="20"/>
      <c r="S409" s="17"/>
      <c r="T409" s="17"/>
      <c r="U409" s="20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21"/>
    </row>
    <row r="410" spans="1:37" x14ac:dyDescent="0.25">
      <c r="A410" s="33" t="s">
        <v>503</v>
      </c>
      <c r="B410" s="12"/>
      <c r="C410" s="12"/>
      <c r="D410" s="27"/>
      <c r="E410" s="14" t="e">
        <f>[1]!Tabela1[[#This Row],[PSA]]/[1]!Tabela1[[#This Row],[MRI vol]]</f>
        <v>#DIV/0!</v>
      </c>
      <c r="F410" s="12"/>
      <c r="G410" s="12"/>
      <c r="H410" s="12"/>
      <c r="I410" s="12"/>
      <c r="J410" s="12"/>
      <c r="K410" s="15"/>
      <c r="L410" s="15"/>
      <c r="M410" s="15"/>
      <c r="N410" s="15"/>
      <c r="O410" s="15"/>
      <c r="P410" s="15"/>
      <c r="Q410" s="15"/>
      <c r="R410" s="15"/>
      <c r="S410" s="12"/>
      <c r="T410" s="12"/>
      <c r="U410" s="15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6"/>
    </row>
    <row r="411" spans="1:37" x14ac:dyDescent="0.25">
      <c r="A411" s="32" t="s">
        <v>504</v>
      </c>
      <c r="B411" s="17"/>
      <c r="C411" s="17"/>
      <c r="D411" s="28"/>
      <c r="E411" s="19" t="e">
        <f>[1]!Tabela1[[#This Row],[PSA]]/[1]!Tabela1[[#This Row],[MRI vol]]</f>
        <v>#DIV/0!</v>
      </c>
      <c r="F411" s="17"/>
      <c r="G411" s="17"/>
      <c r="H411" s="17"/>
      <c r="I411" s="17"/>
      <c r="J411" s="17"/>
      <c r="K411" s="20"/>
      <c r="L411" s="20"/>
      <c r="M411" s="20"/>
      <c r="N411" s="20"/>
      <c r="O411" s="20"/>
      <c r="P411" s="20"/>
      <c r="Q411" s="20"/>
      <c r="R411" s="20"/>
      <c r="S411" s="17"/>
      <c r="T411" s="17"/>
      <c r="U411" s="20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21"/>
    </row>
    <row r="412" spans="1:37" x14ac:dyDescent="0.25">
      <c r="A412" s="32" t="s">
        <v>505</v>
      </c>
      <c r="B412" s="12"/>
      <c r="C412" s="12"/>
      <c r="D412" s="27"/>
      <c r="E412" s="14" t="e">
        <f>[1]!Tabela1[[#This Row],[PSA]]/[1]!Tabela1[[#This Row],[MRI vol]]</f>
        <v>#DIV/0!</v>
      </c>
      <c r="F412" s="12"/>
      <c r="G412" s="12"/>
      <c r="H412" s="12"/>
      <c r="I412" s="12"/>
      <c r="J412" s="12"/>
      <c r="K412" s="15"/>
      <c r="L412" s="15"/>
      <c r="M412" s="15"/>
      <c r="N412" s="15"/>
      <c r="O412" s="15"/>
      <c r="P412" s="15"/>
      <c r="Q412" s="15"/>
      <c r="R412" s="15"/>
      <c r="S412" s="12"/>
      <c r="T412" s="12"/>
      <c r="U412" s="15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6"/>
    </row>
    <row r="413" spans="1:37" x14ac:dyDescent="0.25">
      <c r="A413" s="33" t="s">
        <v>506</v>
      </c>
      <c r="B413" s="17"/>
      <c r="C413" s="17"/>
      <c r="D413" s="28"/>
      <c r="E413" s="19" t="e">
        <f>[1]!Tabela1[[#This Row],[PSA]]/[1]!Tabela1[[#This Row],[MRI vol]]</f>
        <v>#DIV/0!</v>
      </c>
      <c r="F413" s="17"/>
      <c r="G413" s="17"/>
      <c r="H413" s="17"/>
      <c r="I413" s="17"/>
      <c r="J413" s="17"/>
      <c r="K413" s="20"/>
      <c r="L413" s="20"/>
      <c r="M413" s="20"/>
      <c r="N413" s="20"/>
      <c r="O413" s="20"/>
      <c r="P413" s="20"/>
      <c r="Q413" s="20"/>
      <c r="R413" s="20"/>
      <c r="S413" s="17"/>
      <c r="T413" s="17"/>
      <c r="U413" s="20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21"/>
    </row>
    <row r="414" spans="1:37" x14ac:dyDescent="0.25">
      <c r="A414" s="33" t="s">
        <v>507</v>
      </c>
      <c r="B414" s="12">
        <v>59</v>
      </c>
      <c r="C414" s="12">
        <v>1.93</v>
      </c>
      <c r="D414" s="27">
        <v>43160</v>
      </c>
      <c r="E414" s="19">
        <f>[1]!Tabela1[[#This Row],[PSA]]/[1]!Tabela1[[#This Row],[MRI vol]]</f>
        <v>5.5142857142857139E-2</v>
      </c>
      <c r="F414" s="12"/>
      <c r="G414" s="12"/>
      <c r="H414" s="12">
        <v>35</v>
      </c>
      <c r="I414" s="12">
        <v>4</v>
      </c>
      <c r="J414" s="12"/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7</v>
      </c>
      <c r="R414" s="15">
        <v>4</v>
      </c>
      <c r="S414" s="12"/>
      <c r="T414" s="12"/>
      <c r="U414" s="15">
        <v>0</v>
      </c>
      <c r="V414" s="12"/>
      <c r="W414" s="12"/>
      <c r="X414" s="12">
        <v>4</v>
      </c>
      <c r="Y414" s="12">
        <v>3</v>
      </c>
      <c r="Z414" s="12">
        <v>4</v>
      </c>
      <c r="AA414" s="12">
        <v>0</v>
      </c>
      <c r="AB414" s="12">
        <v>0</v>
      </c>
      <c r="AC414" s="12">
        <v>1</v>
      </c>
      <c r="AD414" s="12">
        <v>1</v>
      </c>
      <c r="AE414" s="12">
        <v>0</v>
      </c>
      <c r="AF414" s="12">
        <v>0</v>
      </c>
      <c r="AG414" s="12">
        <v>0</v>
      </c>
      <c r="AH414" s="12">
        <v>0</v>
      </c>
      <c r="AI414" s="12" t="s">
        <v>47</v>
      </c>
      <c r="AJ414" s="12"/>
      <c r="AK414" s="16"/>
    </row>
    <row r="415" spans="1:37" x14ac:dyDescent="0.25">
      <c r="A415" s="33" t="s">
        <v>508</v>
      </c>
      <c r="B415" s="17"/>
      <c r="C415" s="17"/>
      <c r="D415" s="28"/>
      <c r="E415" s="19" t="e">
        <f>[1]!Tabela1[[#This Row],[PSA]]/[1]!Tabela1[[#This Row],[MRI vol]]</f>
        <v>#DIV/0!</v>
      </c>
      <c r="F415" s="17"/>
      <c r="G415" s="17"/>
      <c r="H415" s="17"/>
      <c r="I415" s="17"/>
      <c r="J415" s="17"/>
      <c r="K415" s="20"/>
      <c r="L415" s="20"/>
      <c r="M415" s="20"/>
      <c r="N415" s="20"/>
      <c r="O415" s="20"/>
      <c r="P415" s="20"/>
      <c r="Q415" s="20"/>
      <c r="R415" s="20"/>
      <c r="S415" s="17"/>
      <c r="T415" s="17"/>
      <c r="U415" s="20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21"/>
    </row>
    <row r="416" spans="1:37" x14ac:dyDescent="0.25">
      <c r="A416" s="33" t="s">
        <v>509</v>
      </c>
      <c r="B416" s="12">
        <v>60</v>
      </c>
      <c r="C416" s="12">
        <v>17.7</v>
      </c>
      <c r="D416" s="27">
        <v>43160</v>
      </c>
      <c r="E416" s="14">
        <f>[1]!Tabela1[[#This Row],[PSA]]/[1]!Tabela1[[#This Row],[MRI vol]]</f>
        <v>0.45384615384615384</v>
      </c>
      <c r="F416" s="12"/>
      <c r="G416" s="12"/>
      <c r="H416" s="12">
        <v>39</v>
      </c>
      <c r="I416" s="12">
        <v>4</v>
      </c>
      <c r="J416" s="12"/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13</v>
      </c>
      <c r="R416" s="15">
        <v>4</v>
      </c>
      <c r="S416" s="12"/>
      <c r="T416" s="12"/>
      <c r="U416" s="15">
        <v>3</v>
      </c>
      <c r="V416" s="12"/>
      <c r="W416" s="12"/>
      <c r="X416" s="34">
        <v>3</v>
      </c>
      <c r="Y416" s="34">
        <v>3</v>
      </c>
      <c r="Z416" s="34">
        <v>3</v>
      </c>
      <c r="AA416" s="34">
        <v>0</v>
      </c>
      <c r="AB416" s="34">
        <v>0</v>
      </c>
      <c r="AC416" s="34">
        <v>0</v>
      </c>
      <c r="AD416" s="34">
        <v>0</v>
      </c>
      <c r="AE416" s="34">
        <v>0</v>
      </c>
      <c r="AF416" s="34">
        <v>0</v>
      </c>
      <c r="AG416" s="34">
        <v>0</v>
      </c>
      <c r="AH416" s="34">
        <v>0</v>
      </c>
      <c r="AI416" s="34" t="s">
        <v>53</v>
      </c>
      <c r="AJ416" s="12"/>
      <c r="AK416" s="16"/>
    </row>
    <row r="417" spans="1:37" x14ac:dyDescent="0.25">
      <c r="A417" s="35" t="s">
        <v>510</v>
      </c>
      <c r="B417" s="36"/>
      <c r="C417" s="36"/>
      <c r="D417" s="37"/>
      <c r="E417" s="38" t="e">
        <f>[1]!Tabela1[[#This Row],[PSA]]/[1]!Tabela1[[#This Row],[MRI vol]]</f>
        <v>#DIV/0!</v>
      </c>
      <c r="F417" s="36"/>
      <c r="G417" s="36"/>
      <c r="H417" s="36"/>
      <c r="I417" s="36"/>
      <c r="J417" s="36"/>
      <c r="K417" s="39"/>
      <c r="L417" s="39"/>
      <c r="M417" s="39"/>
      <c r="N417" s="39"/>
      <c r="O417" s="39"/>
      <c r="P417" s="39"/>
      <c r="Q417" s="39"/>
      <c r="R417" s="39"/>
      <c r="S417" s="36"/>
      <c r="T417" s="36"/>
      <c r="U417" s="39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sadasd dasdasd</cp:lastModifiedBy>
  <dcterms:created xsi:type="dcterms:W3CDTF">2015-06-05T18:19:34Z</dcterms:created>
  <dcterms:modified xsi:type="dcterms:W3CDTF">2025-08-06T16:19:53Z</dcterms:modified>
</cp:coreProperties>
</file>