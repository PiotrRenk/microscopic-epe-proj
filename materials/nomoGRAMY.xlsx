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n\Desktop\"/>
    </mc:Choice>
  </mc:AlternateContent>
  <xr:revisionPtr revIDLastSave="0" documentId="13_ncr:1_{942267DA-4608-4975-8CE9-47B1CA3755EF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</calcChain>
</file>

<file path=xl/sharedStrings.xml><?xml version="1.0" encoding="utf-8"?>
<sst xmlns="http://schemas.openxmlformats.org/spreadsheetml/2006/main" count="1498" uniqueCount="271">
  <si>
    <t>NEW IDENTIFIER</t>
  </si>
  <si>
    <t>wiek</t>
  </si>
  <si>
    <t>PSA</t>
  </si>
  <si>
    <t>data operacji</t>
  </si>
  <si>
    <t>PSAdensity</t>
  </si>
  <si>
    <t xml:space="preserve">Prostate vol </t>
  </si>
  <si>
    <t>DRE (0-prawidłowe; 1-nieprawidłowe)</t>
  </si>
  <si>
    <t>MRI vol</t>
  </si>
  <si>
    <t>MRI Pirads</t>
  </si>
  <si>
    <t>lokalizacja</t>
  </si>
  <si>
    <t>MRI EPE (naciek poza torebke)</t>
  </si>
  <si>
    <t>MRI EPE L</t>
  </si>
  <si>
    <t>MRI EPE P</t>
  </si>
  <si>
    <t>MRI SVI (pecherzyki)</t>
  </si>
  <si>
    <t>MRI SVI L</t>
  </si>
  <si>
    <t>MRI SVI P</t>
  </si>
  <si>
    <t>MRI SIZE INDEX LESION</t>
  </si>
  <si>
    <t>Bx ISUP Grade P</t>
  </si>
  <si>
    <t>% P</t>
  </si>
  <si>
    <t>ilość + wycinków P</t>
  </si>
  <si>
    <t>Bx ISUP Grade L</t>
  </si>
  <si>
    <t>% L</t>
  </si>
  <si>
    <t>Ilość + wycinków L</t>
  </si>
  <si>
    <t>ISUP RP</t>
  </si>
  <si>
    <t>ISUP RP P</t>
  </si>
  <si>
    <t>ISUP RP L</t>
  </si>
  <si>
    <t>SM +</t>
  </si>
  <si>
    <t>N +</t>
  </si>
  <si>
    <t>EPE RP</t>
  </si>
  <si>
    <t>EPE L RP</t>
  </si>
  <si>
    <t>EPE P RP</t>
  </si>
  <si>
    <t>SVI RP</t>
  </si>
  <si>
    <t>SVI RP L</t>
  </si>
  <si>
    <t>SVI RP P</t>
  </si>
  <si>
    <t>TNM</t>
  </si>
  <si>
    <t>ID00285</t>
  </si>
  <si>
    <t>3na6</t>
  </si>
  <si>
    <t>t2c</t>
  </si>
  <si>
    <t>ID00012</t>
  </si>
  <si>
    <t>PZpI M PP - 4</t>
  </si>
  <si>
    <t>ID00017</t>
  </si>
  <si>
    <t>PzpI/Pzpm A PP -4</t>
  </si>
  <si>
    <t>5na5</t>
  </si>
  <si>
    <t>0na5</t>
  </si>
  <si>
    <t>ID00021</t>
  </si>
  <si>
    <t>PzPm /PZ pl PP - 5</t>
  </si>
  <si>
    <t>3na7</t>
  </si>
  <si>
    <t>ID00028</t>
  </si>
  <si>
    <t>PP</t>
  </si>
  <si>
    <t>6na6</t>
  </si>
  <si>
    <t>t3b</t>
  </si>
  <si>
    <t>ID00033</t>
  </si>
  <si>
    <t>PP+PL</t>
  </si>
  <si>
    <t>ID00040</t>
  </si>
  <si>
    <t>2na5</t>
  </si>
  <si>
    <t>4na5</t>
  </si>
  <si>
    <t>ID00042</t>
  </si>
  <si>
    <t>ID00043</t>
  </si>
  <si>
    <t>t3a</t>
  </si>
  <si>
    <t>ID00044</t>
  </si>
  <si>
    <t>ID00047</t>
  </si>
  <si>
    <t>ID00048</t>
  </si>
  <si>
    <t>1na7</t>
  </si>
  <si>
    <t>ID00055</t>
  </si>
  <si>
    <t>ID00068</t>
  </si>
  <si>
    <t>3na3</t>
  </si>
  <si>
    <t>ID00075</t>
  </si>
  <si>
    <t>1na2</t>
  </si>
  <si>
    <t>err</t>
  </si>
  <si>
    <t>ID00086</t>
  </si>
  <si>
    <t>ID00097</t>
  </si>
  <si>
    <t>ID00098</t>
  </si>
  <si>
    <t>ID00099</t>
  </si>
  <si>
    <t>2na6</t>
  </si>
  <si>
    <t>ID00107</t>
  </si>
  <si>
    <t>ID00111</t>
  </si>
  <si>
    <t>ID00121</t>
  </si>
  <si>
    <t>1na5</t>
  </si>
  <si>
    <t>ID00132</t>
  </si>
  <si>
    <t>ID00137</t>
  </si>
  <si>
    <t>ID00146</t>
  </si>
  <si>
    <t>1na4</t>
  </si>
  <si>
    <t>ID00149</t>
  </si>
  <si>
    <t>ID00156</t>
  </si>
  <si>
    <t>3na5</t>
  </si>
  <si>
    <t>ID00160</t>
  </si>
  <si>
    <t>2na4</t>
  </si>
  <si>
    <t>t4</t>
  </si>
  <si>
    <t>ID00161</t>
  </si>
  <si>
    <t>2na7</t>
  </si>
  <si>
    <t>1na6</t>
  </si>
  <si>
    <t>ID00172</t>
  </si>
  <si>
    <t>ID00176</t>
  </si>
  <si>
    <t>ID00190</t>
  </si>
  <si>
    <t>ID00198</t>
  </si>
  <si>
    <t>ID00202</t>
  </si>
  <si>
    <t>ID00207</t>
  </si>
  <si>
    <t>ID00213</t>
  </si>
  <si>
    <t>ID00215</t>
  </si>
  <si>
    <t>ID00218</t>
  </si>
  <si>
    <t>ID00224</t>
  </si>
  <si>
    <t>ID00233</t>
  </si>
  <si>
    <t>ID00239</t>
  </si>
  <si>
    <t>ID00240</t>
  </si>
  <si>
    <t>ID00243</t>
  </si>
  <si>
    <t>ID00254</t>
  </si>
  <si>
    <t>ID00269</t>
  </si>
  <si>
    <t>9na10</t>
  </si>
  <si>
    <t>ID00273</t>
  </si>
  <si>
    <t>ID00281</t>
  </si>
  <si>
    <t>?</t>
  </si>
  <si>
    <t>ID00289</t>
  </si>
  <si>
    <t>ID00305</t>
  </si>
  <si>
    <t>t2a</t>
  </si>
  <si>
    <t>ID00308</t>
  </si>
  <si>
    <t>ID00309</t>
  </si>
  <si>
    <t>ID00314</t>
  </si>
  <si>
    <t>ID00317</t>
  </si>
  <si>
    <t>ID00326</t>
  </si>
  <si>
    <t>11na11</t>
  </si>
  <si>
    <t>ID00327</t>
  </si>
  <si>
    <t>ID00331</t>
  </si>
  <si>
    <t>ID00332</t>
  </si>
  <si>
    <t>4na4</t>
  </si>
  <si>
    <t>ID00336</t>
  </si>
  <si>
    <t>ID00343</t>
  </si>
  <si>
    <t>ID00362</t>
  </si>
  <si>
    <t>ID00369</t>
  </si>
  <si>
    <t>ID00376</t>
  </si>
  <si>
    <t>5na6</t>
  </si>
  <si>
    <t>4na6</t>
  </si>
  <si>
    <t>ID00387</t>
  </si>
  <si>
    <t>ID00391</t>
  </si>
  <si>
    <t>ID00403</t>
  </si>
  <si>
    <t>t2b</t>
  </si>
  <si>
    <t>ID00407</t>
  </si>
  <si>
    <t>tak</t>
  </si>
  <si>
    <t>OBJĘTOŚĆ il</t>
  </si>
  <si>
    <t>mri L/P</t>
  </si>
  <si>
    <t>L</t>
  </si>
  <si>
    <t>P</t>
  </si>
  <si>
    <t>p</t>
  </si>
  <si>
    <t>p+l</t>
  </si>
  <si>
    <t>l</t>
  </si>
  <si>
    <t>APEX</t>
  </si>
  <si>
    <t>Bx ISUP Cel</t>
  </si>
  <si>
    <t>%</t>
  </si>
  <si>
    <t>ilość + wycinków</t>
  </si>
  <si>
    <t>REG ISUP bx</t>
  </si>
  <si>
    <t>strona</t>
  </si>
  <si>
    <t>5z6</t>
  </si>
  <si>
    <t>2z4</t>
  </si>
  <si>
    <t>1z8</t>
  </si>
  <si>
    <t>3z6</t>
  </si>
  <si>
    <t>4z6</t>
  </si>
  <si>
    <t>2z6</t>
  </si>
  <si>
    <t>7z8</t>
  </si>
  <si>
    <t>7z10</t>
  </si>
  <si>
    <t>6z6</t>
  </si>
  <si>
    <t>5z8</t>
  </si>
  <si>
    <t>6z7</t>
  </si>
  <si>
    <t>1z4</t>
  </si>
  <si>
    <t>3z3</t>
  </si>
  <si>
    <t>4z5</t>
  </si>
  <si>
    <t>8z14</t>
  </si>
  <si>
    <t>3z8</t>
  </si>
  <si>
    <t>6z12</t>
  </si>
  <si>
    <t>4z8</t>
  </si>
  <si>
    <t>1z6</t>
  </si>
  <si>
    <t>10z10</t>
  </si>
  <si>
    <t>1z3</t>
  </si>
  <si>
    <t>3z10</t>
  </si>
  <si>
    <t>0z10</t>
  </si>
  <si>
    <t>5z10</t>
  </si>
  <si>
    <t>2z10</t>
  </si>
  <si>
    <t>2z12</t>
  </si>
  <si>
    <t>4z4</t>
  </si>
  <si>
    <t>2na3</t>
  </si>
  <si>
    <t>7na7</t>
  </si>
  <si>
    <t>3na4</t>
  </si>
  <si>
    <t>1na3</t>
  </si>
  <si>
    <t>7na8</t>
  </si>
  <si>
    <t>6z10</t>
  </si>
  <si>
    <t>4z10</t>
  </si>
  <si>
    <t>5z14</t>
  </si>
  <si>
    <t>5z5</t>
  </si>
  <si>
    <t>8z8</t>
  </si>
  <si>
    <t>5z11</t>
  </si>
  <si>
    <t>8z12</t>
  </si>
  <si>
    <t>12z12</t>
  </si>
  <si>
    <t>3z12</t>
  </si>
  <si>
    <t>6z16</t>
  </si>
  <si>
    <t>?z22</t>
  </si>
  <si>
    <t>4z16</t>
  </si>
  <si>
    <t>9z12</t>
  </si>
  <si>
    <t>4z12</t>
  </si>
  <si>
    <t>?z11</t>
  </si>
  <si>
    <t>?z10</t>
  </si>
  <si>
    <t>?z12</t>
  </si>
  <si>
    <t>9z10</t>
  </si>
  <si>
    <t>1z10</t>
  </si>
  <si>
    <t>0z6</t>
  </si>
  <si>
    <t>2z2</t>
  </si>
  <si>
    <t>0z4</t>
  </si>
  <si>
    <t>0z5</t>
  </si>
  <si>
    <t>2z5</t>
  </si>
  <si>
    <t>0z3</t>
  </si>
  <si>
    <t>0z2</t>
  </si>
  <si>
    <t>1z2</t>
  </si>
  <si>
    <t>2na2</t>
  </si>
  <si>
    <t>1na1</t>
  </si>
  <si>
    <t>2na1</t>
  </si>
  <si>
    <t>?z5</t>
  </si>
  <si>
    <t>3z4</t>
  </si>
  <si>
    <t>0z1</t>
  </si>
  <si>
    <t>3z5</t>
  </si>
  <si>
    <t>?z4</t>
  </si>
  <si>
    <t>P+L</t>
  </si>
  <si>
    <t>n/a</t>
  </si>
  <si>
    <t>sttrona</t>
  </si>
  <si>
    <t>3a</t>
  </si>
  <si>
    <t>3b</t>
  </si>
  <si>
    <t>data mri</t>
  </si>
  <si>
    <t>data biopsji</t>
  </si>
  <si>
    <t>cTNM</t>
  </si>
  <si>
    <t>twarda spoista</t>
  </si>
  <si>
    <t>T1</t>
  </si>
  <si>
    <t>twarda nieprzesuwalna</t>
  </si>
  <si>
    <t>konsystencja twarda</t>
  </si>
  <si>
    <t>T3a</t>
  </si>
  <si>
    <t>T2b</t>
  </si>
  <si>
    <t>T2</t>
  </si>
  <si>
    <t>T3b</t>
  </si>
  <si>
    <t>T2c</t>
  </si>
  <si>
    <t>T2a</t>
  </si>
  <si>
    <t>brak</t>
  </si>
  <si>
    <t>PL</t>
  </si>
  <si>
    <t>2a</t>
  </si>
  <si>
    <t>2b</t>
  </si>
  <si>
    <t>2c</t>
  </si>
  <si>
    <t>x</t>
  </si>
  <si>
    <t>0/1</t>
  </si>
  <si>
    <t>-</t>
  </si>
  <si>
    <t>+</t>
  </si>
  <si>
    <t>16mm</t>
  </si>
  <si>
    <t>14mm</t>
  </si>
  <si>
    <t>22mm</t>
  </si>
  <si>
    <t>15mm</t>
  </si>
  <si>
    <t>6mm</t>
  </si>
  <si>
    <t>10mm</t>
  </si>
  <si>
    <t>29mm</t>
  </si>
  <si>
    <t>12mm</t>
  </si>
  <si>
    <t>20mm</t>
  </si>
  <si>
    <t>5mm</t>
  </si>
  <si>
    <t>9mm</t>
  </si>
  <si>
    <t>8mm</t>
  </si>
  <si>
    <t>13mm</t>
  </si>
  <si>
    <t>7mm</t>
  </si>
  <si>
    <t>27mm</t>
  </si>
  <si>
    <t>28mm</t>
  </si>
  <si>
    <t>11mm</t>
  </si>
  <si>
    <t>25mm</t>
  </si>
  <si>
    <t>19mm</t>
  </si>
  <si>
    <t>23mm</t>
  </si>
  <si>
    <t>32mm</t>
  </si>
  <si>
    <t>18mm</t>
  </si>
  <si>
    <t>30mm</t>
  </si>
  <si>
    <t>4mm</t>
  </si>
  <si>
    <t>26mm</t>
  </si>
  <si>
    <t>5-20</t>
  </si>
  <si>
    <t>DRE + z pierwszej bazy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</si>
</sst>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1"/>
      <charset val="238"/>
    </font>
  </fonts>
  <fills count="2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/>
    <xf numFmtId="164" fontId="3" fillId="3" borderId="2" xfId="0" applyNumberFormat="1" applyFont="1" applyFill="1" applyBorder="1"/>
    <xf numFmtId="0" fontId="3" fillId="4" borderId="2" xfId="0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4" fillId="5" borderId="2" xfId="0" applyFont="1" applyFill="1" applyBorder="1"/>
    <xf numFmtId="0" fontId="4" fillId="5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0" fillId="6" borderId="3" xfId="0" applyFill="1" applyBorder="1"/>
    <xf numFmtId="0" fontId="0" fillId="6" borderId="4" xfId="0" applyFill="1" applyBorder="1"/>
    <xf numFmtId="17" fontId="0" fillId="6" borderId="4" xfId="0" applyNumberFormat="1" applyFill="1" applyBorder="1" applyAlignment="1">
      <alignment horizontal="right"/>
    </xf>
    <xf numFmtId="1" fontId="0" fillId="6" borderId="4" xfId="0" applyNumberFormat="1" applyFill="1" applyBorder="1"/>
    <xf numFmtId="0" fontId="0" fillId="7" borderId="3" xfId="0" applyFill="1" applyBorder="1"/>
    <xf numFmtId="0" fontId="0" fillId="7" borderId="4" xfId="0" applyFill="1" applyBorder="1"/>
    <xf numFmtId="17" fontId="0" fillId="7" borderId="4" xfId="0" applyNumberFormat="1" applyFill="1" applyBorder="1"/>
    <xf numFmtId="1" fontId="0" fillId="7" borderId="4" xfId="0" applyNumberFormat="1" applyFill="1" applyBorder="1"/>
    <xf numFmtId="17" fontId="0" fillId="6" borderId="4" xfId="0" applyNumberFormat="1" applyFill="1" applyBorder="1"/>
    <xf numFmtId="0" fontId="0" fillId="7" borderId="5" xfId="0" applyFill="1" applyBorder="1"/>
    <xf numFmtId="0" fontId="0" fillId="7" borderId="6" xfId="0" applyFill="1" applyBorder="1"/>
    <xf numFmtId="17" fontId="0" fillId="7" borderId="6" xfId="0" applyNumberFormat="1" applyFill="1" applyBorder="1"/>
    <xf numFmtId="1" fontId="0" fillId="7" borderId="6" xfId="0" applyNumberFormat="1" applyFill="1" applyBorder="1"/>
    <xf numFmtId="0" fontId="1" fillId="8" borderId="7" xfId="0" applyFont="1" applyFill="1" applyBorder="1"/>
    <xf numFmtId="0" fontId="1" fillId="9" borderId="7" xfId="0" applyFont="1" applyFill="1" applyBorder="1"/>
    <xf numFmtId="0" fontId="0" fillId="7" borderId="7" xfId="0" applyFill="1" applyBorder="1"/>
    <xf numFmtId="0" fontId="0" fillId="0" borderId="7" xfId="0" applyBorder="1"/>
    <xf numFmtId="0" fontId="0" fillId="9" borderId="7" xfId="0" applyFill="1" applyBorder="1"/>
    <xf numFmtId="0" fontId="0" fillId="8" borderId="7" xfId="0" applyFill="1" applyBorder="1"/>
    <xf numFmtId="0" fontId="0" fillId="10" borderId="7" xfId="0" applyFill="1" applyBorder="1" applyAlignment="1">
      <alignment vertical="center" wrapText="1"/>
    </xf>
    <xf numFmtId="0" fontId="5" fillId="9" borderId="8" xfId="0" applyFont="1" applyFill="1" applyBorder="1"/>
    <xf numFmtId="2" fontId="6" fillId="9" borderId="7" xfId="0" applyNumberFormat="1" applyFont="1" applyFill="1" applyBorder="1"/>
    <xf numFmtId="0" fontId="6" fillId="9" borderId="7" xfId="0" applyFont="1" applyFill="1" applyBorder="1"/>
    <xf numFmtId="0" fontId="6" fillId="8" borderId="7" xfId="0" applyFont="1" applyFill="1" applyBorder="1"/>
    <xf numFmtId="2" fontId="1" fillId="9" borderId="7" xfId="0" applyNumberFormat="1" applyFont="1" applyFill="1" applyBorder="1" applyAlignment="1">
      <alignment vertical="center" wrapText="1"/>
    </xf>
    <xf numFmtId="0" fontId="6" fillId="9" borderId="7" xfId="0" applyFont="1" applyFill="1" applyBorder="1" applyAlignment="1">
      <alignment vertical="center" wrapText="1"/>
    </xf>
    <xf numFmtId="2" fontId="6" fillId="9" borderId="7" xfId="0" applyNumberFormat="1" applyFont="1" applyFill="1" applyBorder="1" applyAlignment="1">
      <alignment vertical="center" wrapText="1"/>
    </xf>
    <xf numFmtId="0" fontId="0" fillId="9" borderId="7" xfId="0" applyFill="1" applyBorder="1" applyAlignment="1">
      <alignment vertical="center" wrapText="1"/>
    </xf>
    <xf numFmtId="2" fontId="0" fillId="9" borderId="7" xfId="0" applyNumberFormat="1" applyFill="1" applyBorder="1" applyAlignment="1">
      <alignment vertical="center" wrapText="1"/>
    </xf>
    <xf numFmtId="2" fontId="0" fillId="9" borderId="7" xfId="0" applyNumberFormat="1" applyFill="1" applyBorder="1"/>
    <xf numFmtId="0" fontId="0" fillId="8" borderId="7" xfId="0" applyFill="1" applyBorder="1" applyAlignment="1">
      <alignment vertical="center" wrapText="1"/>
    </xf>
    <xf numFmtId="2" fontId="0" fillId="7" borderId="7" xfId="0" applyNumberFormat="1" applyFill="1" applyBorder="1" applyAlignment="1">
      <alignment vertical="center" wrapText="1"/>
    </xf>
    <xf numFmtId="2" fontId="0" fillId="11" borderId="7" xfId="0" applyNumberFormat="1" applyFill="1" applyBorder="1" applyAlignment="1">
      <alignment vertical="center" wrapText="1"/>
    </xf>
    <xf numFmtId="0" fontId="0" fillId="7" borderId="7" xfId="0" applyFill="1" applyBorder="1" applyAlignment="1">
      <alignment vertical="center" wrapText="1"/>
    </xf>
    <xf numFmtId="2" fontId="0" fillId="7" borderId="7" xfId="0" applyNumberFormat="1" applyFill="1" applyBorder="1"/>
    <xf numFmtId="2" fontId="1" fillId="9" borderId="7" xfId="0" applyNumberFormat="1" applyFont="1" applyFill="1" applyBorder="1"/>
    <xf numFmtId="1" fontId="6" fillId="9" borderId="8" xfId="0" applyNumberFormat="1" applyFont="1" applyFill="1" applyBorder="1"/>
    <xf numFmtId="1" fontId="6" fillId="9" borderId="7" xfId="0" applyNumberFormat="1" applyFont="1" applyFill="1" applyBorder="1"/>
    <xf numFmtId="1" fontId="6" fillId="8" borderId="7" xfId="0" applyNumberFormat="1" applyFont="1" applyFill="1" applyBorder="1"/>
    <xf numFmtId="1" fontId="1" fillId="9" borderId="7" xfId="0" applyNumberFormat="1" applyFont="1" applyFill="1" applyBorder="1" applyAlignment="1">
      <alignment vertical="center" wrapText="1"/>
    </xf>
    <xf numFmtId="1" fontId="6" fillId="9" borderId="7" xfId="0" applyNumberFormat="1" applyFont="1" applyFill="1" applyBorder="1" applyAlignment="1">
      <alignment vertical="center" wrapText="1"/>
    </xf>
    <xf numFmtId="1" fontId="5" fillId="9" borderId="8" xfId="0" applyNumberFormat="1" applyFont="1" applyFill="1" applyBorder="1"/>
    <xf numFmtId="1" fontId="0" fillId="7" borderId="7" xfId="0" applyNumberFormat="1" applyFill="1" applyBorder="1"/>
    <xf numFmtId="1" fontId="0" fillId="0" borderId="7" xfId="0" applyNumberFormat="1" applyBorder="1"/>
    <xf numFmtId="1" fontId="0" fillId="9" borderId="7" xfId="0" applyNumberFormat="1" applyFill="1" applyBorder="1" applyAlignment="1">
      <alignment vertical="center" wrapText="1"/>
    </xf>
    <xf numFmtId="1" fontId="0" fillId="9" borderId="7" xfId="0" applyNumberFormat="1" applyFill="1" applyBorder="1"/>
    <xf numFmtId="1" fontId="0" fillId="8" borderId="7" xfId="0" applyNumberFormat="1" applyFill="1" applyBorder="1"/>
    <xf numFmtId="1" fontId="0" fillId="8" borderId="7" xfId="0" applyNumberFormat="1" applyFill="1" applyBorder="1" applyAlignment="1">
      <alignment vertical="center" wrapText="1"/>
    </xf>
    <xf numFmtId="1" fontId="0" fillId="7" borderId="7" xfId="0" applyNumberFormat="1" applyFill="1" applyBorder="1" applyAlignment="1">
      <alignment vertical="center" wrapText="1"/>
    </xf>
    <xf numFmtId="0" fontId="1" fillId="9" borderId="7" xfId="0" applyFont="1" applyFill="1" applyBorder="1" applyAlignment="1">
      <alignment vertical="center" wrapText="1"/>
    </xf>
    <xf numFmtId="1" fontId="5" fillId="8" borderId="9" xfId="0" applyNumberFormat="1" applyFont="1" applyFill="1" applyBorder="1"/>
    <xf numFmtId="0" fontId="1" fillId="8" borderId="7" xfId="0" applyFont="1" applyFill="1" applyBorder="1" applyAlignment="1">
      <alignment vertical="center" wrapText="1"/>
    </xf>
    <xf numFmtId="0" fontId="6" fillId="8" borderId="7" xfId="0" applyFont="1" applyFill="1" applyBorder="1" applyAlignment="1">
      <alignment vertical="center" wrapText="1"/>
    </xf>
    <xf numFmtId="2" fontId="1" fillId="8" borderId="7" xfId="1" applyNumberFormat="1" applyFill="1" applyBorder="1"/>
    <xf numFmtId="2" fontId="1" fillId="9" borderId="7" xfId="1" applyNumberFormat="1" applyFill="1" applyBorder="1"/>
    <xf numFmtId="2" fontId="0" fillId="0" borderId="7" xfId="0" applyNumberFormat="1" applyBorder="1"/>
    <xf numFmtId="2" fontId="0" fillId="9" borderId="7" xfId="1" applyNumberFormat="1" applyFont="1" applyFill="1" applyBorder="1"/>
    <xf numFmtId="2" fontId="0" fillId="8" borderId="7" xfId="1" applyNumberFormat="1" applyFont="1" applyFill="1" applyBorder="1"/>
    <xf numFmtId="2" fontId="0" fillId="7" borderId="7" xfId="1" applyNumberFormat="1" applyFont="1" applyFill="1" applyBorder="1"/>
    <xf numFmtId="2" fontId="0" fillId="0" borderId="7" xfId="1" applyNumberFormat="1" applyFont="1" applyBorder="1"/>
    <xf numFmtId="0" fontId="0" fillId="7" borderId="0" xfId="0" applyFill="1"/>
    <xf numFmtId="0" fontId="6" fillId="8" borderId="8" xfId="0" applyFont="1" applyFill="1" applyBorder="1"/>
    <xf numFmtId="0" fontId="0" fillId="12" borderId="7" xfId="0" applyFill="1" applyBorder="1"/>
    <xf numFmtId="0" fontId="0" fillId="12" borderId="7" xfId="0" applyFill="1" applyBorder="1" applyAlignment="1">
      <alignment vertical="center" wrapText="1"/>
    </xf>
    <xf numFmtId="0" fontId="2" fillId="13" borderId="2" xfId="0" applyFont="1" applyFill="1" applyBorder="1" applyAlignment="1">
      <alignment horizontal="center"/>
    </xf>
    <xf numFmtId="0" fontId="5" fillId="14" borderId="8" xfId="0" applyFont="1" applyFill="1" applyBorder="1"/>
    <xf numFmtId="9" fontId="1" fillId="15" borderId="7" xfId="0" applyNumberFormat="1" applyFont="1" applyFill="1" applyBorder="1"/>
    <xf numFmtId="0" fontId="1" fillId="15" borderId="7" xfId="0" applyFont="1" applyFill="1" applyBorder="1"/>
    <xf numFmtId="0" fontId="5" fillId="15" borderId="7" xfId="0" applyFont="1" applyFill="1" applyBorder="1"/>
    <xf numFmtId="9" fontId="1" fillId="14" borderId="7" xfId="0" applyNumberFormat="1" applyFont="1" applyFill="1" applyBorder="1"/>
    <xf numFmtId="0" fontId="1" fillId="14" borderId="7" xfId="0" applyFont="1" applyFill="1" applyBorder="1"/>
    <xf numFmtId="0" fontId="5" fillId="14" borderId="7" xfId="0" applyFont="1" applyFill="1" applyBorder="1"/>
    <xf numFmtId="0" fontId="1" fillId="15" borderId="7" xfId="0" applyFont="1" applyFill="1" applyBorder="1" applyAlignment="1">
      <alignment vertical="center" wrapText="1"/>
    </xf>
    <xf numFmtId="10" fontId="1" fillId="14" borderId="7" xfId="0" applyNumberFormat="1" applyFont="1" applyFill="1" applyBorder="1"/>
    <xf numFmtId="0" fontId="6" fillId="15" borderId="7" xfId="0" applyFont="1" applyFill="1" applyBorder="1" applyAlignment="1">
      <alignment vertical="center" wrapText="1"/>
    </xf>
    <xf numFmtId="0" fontId="5" fillId="15" borderId="8" xfId="0" applyFont="1" applyFill="1" applyBorder="1"/>
    <xf numFmtId="0" fontId="0" fillId="14" borderId="7" xfId="0" applyFill="1" applyBorder="1"/>
    <xf numFmtId="0" fontId="6" fillId="14" borderId="7" xfId="0" applyFont="1" applyFill="1" applyBorder="1" applyAlignment="1">
      <alignment vertical="center" wrapText="1"/>
    </xf>
    <xf numFmtId="0" fontId="0" fillId="15" borderId="7" xfId="0" applyFill="1" applyBorder="1"/>
    <xf numFmtId="9" fontId="0" fillId="14" borderId="7" xfId="0" applyNumberFormat="1" applyFill="1" applyBorder="1"/>
    <xf numFmtId="0" fontId="0" fillId="15" borderId="7" xfId="0" applyFill="1" applyBorder="1" applyAlignment="1">
      <alignment vertical="center" wrapText="1"/>
    </xf>
    <xf numFmtId="9" fontId="0" fillId="15" borderId="7" xfId="0" applyNumberFormat="1" applyFill="1" applyBorder="1"/>
    <xf numFmtId="0" fontId="0" fillId="14" borderId="7" xfId="0" applyFill="1" applyBorder="1" applyAlignment="1">
      <alignment horizontal="center"/>
    </xf>
    <xf numFmtId="0" fontId="0" fillId="14" borderId="7" xfId="0" applyFill="1" applyBorder="1" applyAlignment="1">
      <alignment vertical="center" wrapText="1"/>
    </xf>
    <xf numFmtId="0" fontId="0" fillId="9" borderId="7" xfId="0" applyFill="1" applyBorder="1" applyAlignment="1">
      <alignment wrapText="1"/>
    </xf>
    <xf numFmtId="0" fontId="0" fillId="16" borderId="7" xfId="0" applyFill="1" applyBorder="1"/>
    <xf numFmtId="9" fontId="0" fillId="7" borderId="7" xfId="0" applyNumberFormat="1" applyFill="1" applyBorder="1"/>
    <xf numFmtId="0" fontId="0" fillId="17" borderId="7" xfId="0" applyFill="1" applyBorder="1"/>
    <xf numFmtId="0" fontId="0" fillId="17" borderId="7" xfId="0" applyFill="1" applyBorder="1" applyAlignment="1">
      <alignment vertical="center" wrapText="1"/>
    </xf>
    <xf numFmtId="0" fontId="0" fillId="16" borderId="7" xfId="0" applyFill="1" applyBorder="1" applyAlignment="1">
      <alignment vertical="center" wrapText="1"/>
    </xf>
    <xf numFmtId="9" fontId="0" fillId="0" borderId="7" xfId="0" applyNumberFormat="1" applyBorder="1"/>
    <xf numFmtId="0" fontId="1" fillId="12" borderId="7" xfId="0" applyFont="1" applyFill="1" applyBorder="1"/>
    <xf numFmtId="0" fontId="1" fillId="18" borderId="7" xfId="0" applyFont="1" applyFill="1" applyBorder="1"/>
    <xf numFmtId="0" fontId="1" fillId="19" borderId="7" xfId="0" applyFont="1" applyFill="1" applyBorder="1"/>
    <xf numFmtId="9" fontId="1" fillId="7" borderId="7" xfId="0" applyNumberFormat="1" applyFont="1" applyFill="1" applyBorder="1"/>
    <xf numFmtId="0" fontId="1" fillId="7" borderId="7" xfId="0" applyFont="1" applyFill="1" applyBorder="1"/>
    <xf numFmtId="9" fontId="0" fillId="18" borderId="7" xfId="0" applyNumberFormat="1" applyFill="1" applyBorder="1"/>
    <xf numFmtId="0" fontId="0" fillId="18" borderId="7" xfId="0" applyFill="1" applyBorder="1"/>
    <xf numFmtId="9" fontId="0" fillId="12" borderId="7" xfId="0" applyNumberFormat="1" applyFill="1" applyBorder="1"/>
    <xf numFmtId="0" fontId="0" fillId="12" borderId="7" xfId="0" applyFill="1" applyBorder="1" applyAlignment="1">
      <alignment horizontal="center"/>
    </xf>
    <xf numFmtId="0" fontId="0" fillId="18" borderId="7" xfId="0" applyFill="1" applyBorder="1" applyAlignment="1">
      <alignment horizontal="center"/>
    </xf>
    <xf numFmtId="16" fontId="0" fillId="18" borderId="7" xfId="0" applyNumberFormat="1" applyFill="1" applyBorder="1" applyAlignment="1">
      <alignment horizontal="center"/>
    </xf>
    <xf numFmtId="0" fontId="0" fillId="20" borderId="7" xfId="0" applyFill="1" applyBorder="1"/>
    <xf numFmtId="0" fontId="0" fillId="21" borderId="7" xfId="0" applyFill="1" applyBorder="1"/>
    <xf numFmtId="9" fontId="1" fillId="19" borderId="7" xfId="0" applyNumberFormat="1" applyFont="1" applyFill="1" applyBorder="1"/>
    <xf numFmtId="0" fontId="0" fillId="19" borderId="7" xfId="0" applyFill="1" applyBorder="1"/>
    <xf numFmtId="0" fontId="0" fillId="11" borderId="7" xfId="0" applyFill="1" applyBorder="1"/>
    <xf numFmtId="9" fontId="0" fillId="11" borderId="7" xfId="0" applyNumberFormat="1" applyFill="1" applyBorder="1"/>
    <xf numFmtId="0" fontId="1" fillId="22" borderId="7" xfId="0" applyFont="1" applyFill="1" applyBorder="1"/>
    <xf numFmtId="0" fontId="1" fillId="23" borderId="7" xfId="0" applyFont="1" applyFill="1" applyBorder="1"/>
    <xf numFmtId="0" fontId="0" fillId="23" borderId="7" xfId="0" applyFill="1" applyBorder="1"/>
    <xf numFmtId="0" fontId="0" fillId="22" borderId="7" xfId="0" applyFill="1" applyBorder="1"/>
    <xf numFmtId="0" fontId="5" fillId="23" borderId="7" xfId="0" applyFont="1" applyFill="1" applyBorder="1"/>
    <xf numFmtId="0" fontId="5" fillId="22" borderId="7" xfId="0" applyFont="1" applyFill="1" applyBorder="1"/>
    <xf numFmtId="0" fontId="6" fillId="23" borderId="7" xfId="0" applyFont="1" applyFill="1" applyBorder="1"/>
    <xf numFmtId="0" fontId="6" fillId="22" borderId="7" xfId="0" applyFont="1" applyFill="1" applyBorder="1"/>
    <xf numFmtId="0" fontId="5" fillId="9" borderId="0" xfId="0" applyFont="1" applyFill="1"/>
    <xf numFmtId="2" fontId="6" fillId="9" borderId="0" xfId="0" applyNumberFormat="1" applyFont="1" applyFill="1"/>
    <xf numFmtId="0" fontId="6" fillId="9" borderId="0" xfId="0" applyFont="1" applyFill="1"/>
    <xf numFmtId="0" fontId="6" fillId="8" borderId="0" xfId="0" applyFont="1" applyFill="1"/>
    <xf numFmtId="2" fontId="1" fillId="9" borderId="0" xfId="0" applyNumberFormat="1" applyFont="1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2" fontId="6" fillId="9" borderId="0" xfId="0" applyNumberFormat="1" applyFont="1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9" borderId="0" xfId="0" applyFill="1"/>
    <xf numFmtId="2" fontId="0" fillId="9" borderId="0" xfId="0" applyNumberFormat="1" applyFill="1" applyAlignment="1">
      <alignment vertical="center" wrapText="1"/>
    </xf>
    <xf numFmtId="2" fontId="0" fillId="9" borderId="0" xfId="0" applyNumberFormat="1" applyFill="1"/>
    <xf numFmtId="0" fontId="0" fillId="8" borderId="0" xfId="0" applyFill="1"/>
    <xf numFmtId="0" fontId="0" fillId="8" borderId="0" xfId="0" applyFill="1" applyAlignment="1">
      <alignment vertical="center" wrapText="1"/>
    </xf>
    <xf numFmtId="2" fontId="0" fillId="7" borderId="0" xfId="0" applyNumberFormat="1" applyFill="1" applyAlignment="1">
      <alignment vertical="center" wrapText="1"/>
    </xf>
    <xf numFmtId="2" fontId="0" fillId="11" borderId="0" xfId="0" applyNumberFormat="1" applyFill="1" applyAlignment="1">
      <alignment vertical="center" wrapText="1"/>
    </xf>
    <xf numFmtId="0" fontId="0" fillId="7" borderId="0" xfId="0" applyFill="1" applyAlignment="1">
      <alignment vertical="center" wrapText="1"/>
    </xf>
    <xf numFmtId="2" fontId="0" fillId="7" borderId="0" xfId="0" applyNumberFormat="1" applyFill="1"/>
    <xf numFmtId="0" fontId="0" fillId="0" borderId="10" xfId="0" applyBorder="1" applyAlignment="1">
      <alignment vertical="top" wrapText="1"/>
    </xf>
    <xf numFmtId="0" fontId="0" fillId="24" borderId="10" xfId="0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0" fillId="0" borderId="10" xfId="0" applyBorder="1" applyAlignment="1">
      <alignment horizontal="right" vertical="top" wrapText="1"/>
    </xf>
  </cellXfs>
  <cellStyles count="2">
    <cellStyle name="Normalny" xfId="0" builtinId="0"/>
    <cellStyle name="Normalny 2" xfId="1" xr:uid="{044CF4ED-7D03-4610-813B-5C5E9A7935A9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464189</xdr:colOff>
      <xdr:row>69</xdr:row>
      <xdr:rowOff>107451</xdr:rowOff>
    </xdr:from>
    <xdr:to>
      <xdr:col>24</xdr:col>
      <xdr:colOff>492629</xdr:colOff>
      <xdr:row>70</xdr:row>
      <xdr:rowOff>53501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Pismo odręczne 1">
              <a:extLst>
                <a:ext uri="{FF2B5EF4-FFF2-40B4-BE49-F238E27FC236}">
                  <a16:creationId xmlns:a16="http://schemas.microsoft.com/office/drawing/2014/main" id="{5D1ECCE9-0ABC-91E6-8546-5AFE23C1AE6B}"/>
                </a:ext>
              </a:extLst>
            </xdr14:cNvPr>
            <xdr14:cNvContentPartPr/>
          </xdr14:nvContentPartPr>
          <xdr14:nvPr macro=""/>
          <xdr14:xfrm>
            <a:off x="15135532" y="13072824"/>
            <a:ext cx="28440" cy="145080"/>
          </xdr14:xfrm>
        </xdr:contentPart>
      </mc:Choice>
      <mc:Fallback xmlns="">
        <xdr:pic>
          <xdr:nvPicPr>
            <xdr:cNvPr id="2" name="Pismo odręczne 1">
              <a:extLst>
                <a:ext uri="{FF2B5EF4-FFF2-40B4-BE49-F238E27FC236}">
                  <a16:creationId xmlns:a16="http://schemas.microsoft.com/office/drawing/2014/main" id="{5D1ECCE9-0ABC-91E6-8546-5AFE23C1AE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126892" y="13063824"/>
              <a:ext cx="4608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255697</xdr:colOff>
      <xdr:row>69</xdr:row>
      <xdr:rowOff>79197</xdr:rowOff>
    </xdr:from>
    <xdr:to>
      <xdr:col>26</xdr:col>
      <xdr:colOff>256057</xdr:colOff>
      <xdr:row>69</xdr:row>
      <xdr:rowOff>87477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Pismo odręczne 2">
              <a:extLst>
                <a:ext uri="{FF2B5EF4-FFF2-40B4-BE49-F238E27FC236}">
                  <a16:creationId xmlns:a16="http://schemas.microsoft.com/office/drawing/2014/main" id="{E9CFBF0E-CF2D-1F91-EBEC-9DA4A5281150}"/>
                </a:ext>
              </a:extLst>
            </xdr14:cNvPr>
            <xdr14:cNvContentPartPr/>
          </xdr14:nvContentPartPr>
          <xdr14:nvPr macro=""/>
          <xdr14:xfrm>
            <a:off x="16149652" y="13044570"/>
            <a:ext cx="360" cy="8280"/>
          </xdr14:xfrm>
        </xdr:contentPart>
      </mc:Choice>
      <mc:Fallback xmlns="">
        <xdr:pic>
          <xdr:nvPicPr>
            <xdr:cNvPr id="3" name="Pismo odręczne 2">
              <a:extLst>
                <a:ext uri="{FF2B5EF4-FFF2-40B4-BE49-F238E27FC236}">
                  <a16:creationId xmlns:a16="http://schemas.microsoft.com/office/drawing/2014/main" id="{E9CFBF0E-CF2D-1F91-EBEC-9DA4A528115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143532" y="13038450"/>
              <a:ext cx="12600" cy="20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9T07:33:17.3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79 402 8402,'-31'-27'3008,"-6"-7"-2383,27-30-649,20-7-24,19-10-217,1 12-711,-28 13 680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9T07:33:31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3409,'0'0'4329,"0"-3"-3457,0 1 128,0-1-72,0 1-408,0-3-208,0 3-848,0-1-1056,0 1 1032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78"/>
  <sheetViews>
    <sheetView tabSelected="1" topLeftCell="A277" zoomScale="77" workbookViewId="0">
      <selection activeCell="D299" sqref="D299"/>
    </sheetView>
  </sheetViews>
  <sheetFormatPr defaultRowHeight="15"/>
  <sheetData>
    <row r="1" spans="1:51" ht="15.75" thickBot="1">
      <c r="C1" s="1" t="s">
        <v>0</v>
      </c>
      <c r="D1" s="2" t="s">
        <v>1</v>
      </c>
      <c r="E1" s="2" t="s">
        <v>2</v>
      </c>
      <c r="F1" s="2" t="s">
        <v>222</v>
      </c>
      <c r="G1" s="2" t="s">
        <v>223</v>
      </c>
      <c r="H1" s="2" t="s">
        <v>3</v>
      </c>
      <c r="I1" s="3" t="s">
        <v>4</v>
      </c>
      <c r="J1" s="2" t="s">
        <v>5</v>
      </c>
      <c r="K1" s="2" t="s">
        <v>224</v>
      </c>
      <c r="L1" s="2" t="s">
        <v>6</v>
      </c>
      <c r="M1" s="4" t="s">
        <v>7</v>
      </c>
      <c r="N1" s="5" t="s">
        <v>8</v>
      </c>
      <c r="O1" s="5" t="s">
        <v>9</v>
      </c>
      <c r="P1" s="6" t="s">
        <v>10</v>
      </c>
      <c r="Q1" s="6" t="s">
        <v>138</v>
      </c>
      <c r="R1" s="6" t="s">
        <v>11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137</v>
      </c>
      <c r="X1" s="6" t="s">
        <v>16</v>
      </c>
      <c r="Y1" s="75" t="s">
        <v>145</v>
      </c>
      <c r="Z1" s="75" t="s">
        <v>146</v>
      </c>
      <c r="AA1" s="75" t="s">
        <v>147</v>
      </c>
      <c r="AB1" s="75" t="s">
        <v>148</v>
      </c>
      <c r="AC1" s="75" t="s">
        <v>146</v>
      </c>
      <c r="AD1" s="75" t="s">
        <v>147</v>
      </c>
      <c r="AE1" s="75" t="s">
        <v>149</v>
      </c>
      <c r="AF1" s="7" t="s">
        <v>17</v>
      </c>
      <c r="AG1" s="8" t="s">
        <v>18</v>
      </c>
      <c r="AH1" s="8" t="s">
        <v>19</v>
      </c>
      <c r="AI1" s="7" t="s">
        <v>20</v>
      </c>
      <c r="AJ1" s="8" t="s">
        <v>21</v>
      </c>
      <c r="AK1" s="8" t="s">
        <v>22</v>
      </c>
      <c r="AL1" s="9" t="s">
        <v>23</v>
      </c>
      <c r="AM1" s="10" t="s">
        <v>24</v>
      </c>
      <c r="AN1" s="10" t="s">
        <v>25</v>
      </c>
      <c r="AO1" s="10" t="s">
        <v>26</v>
      </c>
      <c r="AP1" s="10" t="s">
        <v>27</v>
      </c>
      <c r="AQ1" s="10" t="s">
        <v>28</v>
      </c>
      <c r="AR1" s="10" t="s">
        <v>149</v>
      </c>
      <c r="AS1" s="10" t="s">
        <v>29</v>
      </c>
      <c r="AT1" s="10" t="s">
        <v>30</v>
      </c>
      <c r="AU1" s="10" t="s">
        <v>31</v>
      </c>
      <c r="AV1" s="10" t="s">
        <v>219</v>
      </c>
      <c r="AW1" s="10" t="s">
        <v>32</v>
      </c>
      <c r="AX1" s="10" t="s">
        <v>33</v>
      </c>
      <c r="AY1" s="10" t="s">
        <v>34</v>
      </c>
    </row>
    <row r="2" spans="1:51" ht="15.75" thickTop="1">
      <c r="A2" t="s">
        <v>270</v>
      </c>
      <c r="C2" s="11" t="s">
        <v>35</v>
      </c>
      <c r="D2" s="12">
        <v>64</v>
      </c>
      <c r="E2" s="12">
        <v>17.100000000000001</v>
      </c>
      <c r="F2" s="12"/>
      <c r="G2" s="12"/>
      <c r="H2" s="13">
        <v>44315</v>
      </c>
      <c r="I2" s="12">
        <f>E2/M2</f>
        <v>0.57000000000000006</v>
      </c>
      <c r="J2" s="12">
        <v>30</v>
      </c>
      <c r="K2" s="12"/>
      <c r="L2" s="12">
        <v>0</v>
      </c>
      <c r="M2" s="12">
        <v>30</v>
      </c>
      <c r="N2" s="12"/>
      <c r="O2" s="12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>
        <v>1</v>
      </c>
      <c r="AG2" s="12">
        <v>30</v>
      </c>
      <c r="AH2" s="12" t="s">
        <v>36</v>
      </c>
      <c r="AI2" s="12">
        <v>0</v>
      </c>
      <c r="AJ2" s="12">
        <v>0</v>
      </c>
      <c r="AK2" s="12">
        <v>0</v>
      </c>
      <c r="AL2" s="12">
        <v>3</v>
      </c>
      <c r="AM2" s="12">
        <v>3</v>
      </c>
      <c r="AN2" s="12">
        <v>3</v>
      </c>
      <c r="AO2" s="12">
        <v>0</v>
      </c>
      <c r="AP2" s="12">
        <v>0</v>
      </c>
      <c r="AQ2" s="12">
        <v>0</v>
      </c>
      <c r="AR2" s="12"/>
      <c r="AS2" s="12">
        <v>0</v>
      </c>
      <c r="AT2" s="12">
        <v>0</v>
      </c>
      <c r="AU2" s="12">
        <v>0</v>
      </c>
      <c r="AV2" s="12"/>
      <c r="AW2" s="12">
        <v>0</v>
      </c>
      <c r="AX2" s="12">
        <v>0</v>
      </c>
      <c r="AY2" s="12" t="s">
        <v>37</v>
      </c>
    </row>
    <row r="3" spans="1:51">
      <c r="A3" t="s">
        <v>270</v>
      </c>
      <c r="C3" s="15" t="s">
        <v>38</v>
      </c>
      <c r="D3" s="16">
        <v>63</v>
      </c>
      <c r="E3" s="16">
        <v>3.65</v>
      </c>
      <c r="F3" s="16"/>
      <c r="G3" s="16"/>
      <c r="H3" s="17">
        <v>42248</v>
      </c>
      <c r="I3" s="12">
        <f t="shared" ref="I3:I66" si="0">E3/M3</f>
        <v>9.6052631578947362E-2</v>
      </c>
      <c r="J3" s="16"/>
      <c r="K3" s="16"/>
      <c r="L3" s="16">
        <v>1</v>
      </c>
      <c r="M3" s="16">
        <v>38</v>
      </c>
      <c r="N3" s="16">
        <v>4</v>
      </c>
      <c r="O3" s="16" t="s">
        <v>39</v>
      </c>
      <c r="P3" s="18">
        <v>0</v>
      </c>
      <c r="Q3" s="18"/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/>
      <c r="X3" s="18">
        <v>10</v>
      </c>
      <c r="Y3" s="18"/>
      <c r="Z3" s="18"/>
      <c r="AA3" s="18"/>
      <c r="AB3" s="18"/>
      <c r="AC3" s="18"/>
      <c r="AD3" s="18"/>
      <c r="AE3" s="18"/>
      <c r="AF3" s="18">
        <v>1</v>
      </c>
      <c r="AG3" s="16"/>
      <c r="AH3" s="16"/>
      <c r="AI3" s="18">
        <v>0</v>
      </c>
      <c r="AJ3" s="16"/>
      <c r="AK3" s="16"/>
      <c r="AL3" s="16">
        <v>2</v>
      </c>
      <c r="AM3" s="16">
        <v>2</v>
      </c>
      <c r="AN3" s="16">
        <v>2</v>
      </c>
      <c r="AO3" s="16">
        <v>0</v>
      </c>
      <c r="AP3" s="16">
        <v>0</v>
      </c>
      <c r="AQ3" s="16">
        <v>0</v>
      </c>
      <c r="AR3" s="16"/>
      <c r="AS3" s="16">
        <v>0</v>
      </c>
      <c r="AT3" s="16">
        <v>0</v>
      </c>
      <c r="AU3" s="16">
        <v>0</v>
      </c>
      <c r="AV3" s="16"/>
      <c r="AW3" s="16">
        <v>0</v>
      </c>
      <c r="AX3" s="16">
        <v>0</v>
      </c>
      <c r="AY3" s="16" t="s">
        <v>37</v>
      </c>
    </row>
    <row r="4" spans="1:51">
      <c r="A4" t="s">
        <v>270</v>
      </c>
      <c r="C4" s="11" t="s">
        <v>40</v>
      </c>
      <c r="D4" s="12">
        <v>68</v>
      </c>
      <c r="E4" s="12">
        <v>9</v>
      </c>
      <c r="F4" s="12"/>
      <c r="G4" s="12"/>
      <c r="H4" s="19">
        <v>43160</v>
      </c>
      <c r="I4" s="12">
        <f t="shared" si="0"/>
        <v>0.15517241379310345</v>
      </c>
      <c r="J4" s="12"/>
      <c r="K4" s="12"/>
      <c r="L4" s="12">
        <v>1</v>
      </c>
      <c r="M4" s="12">
        <v>58</v>
      </c>
      <c r="N4" s="12">
        <v>4</v>
      </c>
      <c r="O4" s="12" t="s">
        <v>41</v>
      </c>
      <c r="P4" s="14">
        <v>0</v>
      </c>
      <c r="Q4" s="14"/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/>
      <c r="X4" s="14">
        <v>9</v>
      </c>
      <c r="Y4" s="14"/>
      <c r="Z4" s="14"/>
      <c r="AA4" s="14"/>
      <c r="AB4" s="14"/>
      <c r="AC4" s="14"/>
      <c r="AD4" s="14"/>
      <c r="AE4" s="14"/>
      <c r="AF4" s="14">
        <v>2</v>
      </c>
      <c r="AG4" s="14">
        <v>10</v>
      </c>
      <c r="AH4" s="12" t="s">
        <v>42</v>
      </c>
      <c r="AI4" s="14">
        <v>0</v>
      </c>
      <c r="AJ4" s="14">
        <v>0</v>
      </c>
      <c r="AK4" s="12" t="s">
        <v>43</v>
      </c>
      <c r="AL4" s="12">
        <v>2</v>
      </c>
      <c r="AM4" s="12">
        <v>2</v>
      </c>
      <c r="AN4" s="12">
        <v>2</v>
      </c>
      <c r="AO4" s="12">
        <v>0</v>
      </c>
      <c r="AP4" s="12">
        <v>0</v>
      </c>
      <c r="AQ4" s="12">
        <v>0</v>
      </c>
      <c r="AR4" s="12"/>
      <c r="AS4" s="12">
        <v>0</v>
      </c>
      <c r="AT4" s="12">
        <v>0</v>
      </c>
      <c r="AU4" s="12">
        <v>0</v>
      </c>
      <c r="AV4" s="12"/>
      <c r="AW4" s="12">
        <v>0</v>
      </c>
      <c r="AX4" s="12">
        <v>0</v>
      </c>
      <c r="AY4" s="12" t="s">
        <v>37</v>
      </c>
    </row>
    <row r="5" spans="1:51">
      <c r="A5" t="s">
        <v>270</v>
      </c>
      <c r="C5" s="15" t="s">
        <v>44</v>
      </c>
      <c r="D5" s="16">
        <v>55</v>
      </c>
      <c r="E5" s="16">
        <v>6.6</v>
      </c>
      <c r="F5" s="16"/>
      <c r="G5" s="16"/>
      <c r="H5" s="17">
        <v>44075</v>
      </c>
      <c r="I5" s="12">
        <f t="shared" si="0"/>
        <v>0.12</v>
      </c>
      <c r="J5" s="16"/>
      <c r="K5" s="16"/>
      <c r="L5" s="16">
        <v>0</v>
      </c>
      <c r="M5" s="16">
        <v>55</v>
      </c>
      <c r="N5" s="16">
        <v>5</v>
      </c>
      <c r="O5" s="16" t="s">
        <v>45</v>
      </c>
      <c r="P5" s="18">
        <v>0</v>
      </c>
      <c r="Q5" s="18"/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/>
      <c r="X5" s="18">
        <v>16</v>
      </c>
      <c r="Y5" s="18"/>
      <c r="Z5" s="18"/>
      <c r="AA5" s="18"/>
      <c r="AB5" s="18"/>
      <c r="AC5" s="18"/>
      <c r="AD5" s="18"/>
      <c r="AE5" s="18"/>
      <c r="AF5" s="18">
        <v>1</v>
      </c>
      <c r="AG5" s="16">
        <v>10</v>
      </c>
      <c r="AH5" s="16" t="s">
        <v>46</v>
      </c>
      <c r="AI5" s="18">
        <v>0</v>
      </c>
      <c r="AJ5" s="16">
        <v>0</v>
      </c>
      <c r="AK5" s="16">
        <v>0</v>
      </c>
      <c r="AL5" s="16">
        <v>3</v>
      </c>
      <c r="AM5" s="16">
        <v>3</v>
      </c>
      <c r="AN5" s="16">
        <v>3</v>
      </c>
      <c r="AO5" s="16">
        <v>0</v>
      </c>
      <c r="AP5" s="16">
        <v>0</v>
      </c>
      <c r="AQ5" s="16">
        <v>0</v>
      </c>
      <c r="AR5" s="16"/>
      <c r="AS5" s="16">
        <v>0</v>
      </c>
      <c r="AT5" s="16">
        <v>0</v>
      </c>
      <c r="AU5" s="16">
        <v>0</v>
      </c>
      <c r="AV5" s="16"/>
      <c r="AW5" s="16">
        <v>0</v>
      </c>
      <c r="AX5" s="16">
        <v>0</v>
      </c>
      <c r="AY5" s="16" t="s">
        <v>37</v>
      </c>
    </row>
    <row r="6" spans="1:51">
      <c r="A6" t="s">
        <v>270</v>
      </c>
      <c r="C6" s="11" t="s">
        <v>47</v>
      </c>
      <c r="D6" s="12">
        <v>68</v>
      </c>
      <c r="E6" s="12">
        <v>4.4000000000000004</v>
      </c>
      <c r="F6" s="12"/>
      <c r="G6" s="12"/>
      <c r="H6" s="19">
        <v>43374</v>
      </c>
      <c r="I6" s="12">
        <f t="shared" si="0"/>
        <v>0.13750000000000001</v>
      </c>
      <c r="J6" s="12"/>
      <c r="K6" s="12"/>
      <c r="L6" s="12">
        <v>1</v>
      </c>
      <c r="M6" s="12">
        <v>32</v>
      </c>
      <c r="N6" s="12">
        <v>4</v>
      </c>
      <c r="O6" s="12" t="s">
        <v>48</v>
      </c>
      <c r="P6" s="14">
        <v>1</v>
      </c>
      <c r="Q6" s="14"/>
      <c r="R6" s="14">
        <v>0</v>
      </c>
      <c r="S6" s="14">
        <v>1</v>
      </c>
      <c r="T6" s="14">
        <v>0</v>
      </c>
      <c r="U6" s="14">
        <v>0</v>
      </c>
      <c r="V6" s="14">
        <v>0</v>
      </c>
      <c r="W6" s="14"/>
      <c r="X6" s="14">
        <v>12</v>
      </c>
      <c r="Y6" s="14"/>
      <c r="Z6" s="14"/>
      <c r="AA6" s="14"/>
      <c r="AB6" s="14"/>
      <c r="AC6" s="14"/>
      <c r="AD6" s="14"/>
      <c r="AE6" s="14"/>
      <c r="AF6" s="14">
        <v>4</v>
      </c>
      <c r="AG6" s="14">
        <v>60</v>
      </c>
      <c r="AH6" s="14" t="s">
        <v>49</v>
      </c>
      <c r="AI6" s="14">
        <v>0</v>
      </c>
      <c r="AJ6" s="12"/>
      <c r="AK6" s="12"/>
      <c r="AL6" s="14">
        <v>4</v>
      </c>
      <c r="AM6" s="14">
        <v>4</v>
      </c>
      <c r="AN6" s="14">
        <v>4</v>
      </c>
      <c r="AO6" s="14">
        <v>1</v>
      </c>
      <c r="AP6" s="14">
        <v>0</v>
      </c>
      <c r="AQ6" s="14">
        <v>1</v>
      </c>
      <c r="AR6" s="14"/>
      <c r="AS6" s="14">
        <v>1</v>
      </c>
      <c r="AT6" s="14">
        <v>1</v>
      </c>
      <c r="AU6" s="14">
        <v>1</v>
      </c>
      <c r="AV6" s="14"/>
      <c r="AW6" s="14">
        <v>0</v>
      </c>
      <c r="AX6" s="14">
        <v>1</v>
      </c>
      <c r="AY6" s="12" t="s">
        <v>50</v>
      </c>
    </row>
    <row r="7" spans="1:51">
      <c r="A7" t="s">
        <v>270</v>
      </c>
      <c r="C7" s="15" t="s">
        <v>51</v>
      </c>
      <c r="D7" s="16">
        <v>64</v>
      </c>
      <c r="E7" s="16">
        <v>209</v>
      </c>
      <c r="F7" s="16"/>
      <c r="G7" s="16"/>
      <c r="H7" s="17">
        <v>43132</v>
      </c>
      <c r="I7" s="12">
        <f t="shared" si="0"/>
        <v>3.2153846153846155</v>
      </c>
      <c r="J7" s="16"/>
      <c r="K7" s="16"/>
      <c r="L7" s="16">
        <v>1</v>
      </c>
      <c r="M7" s="16">
        <v>65</v>
      </c>
      <c r="N7" s="16">
        <v>5</v>
      </c>
      <c r="O7" s="16" t="s">
        <v>52</v>
      </c>
      <c r="P7" s="18">
        <v>1</v>
      </c>
      <c r="Q7" s="18"/>
      <c r="R7" s="18">
        <v>1</v>
      </c>
      <c r="S7" s="18">
        <v>1</v>
      </c>
      <c r="T7" s="18">
        <v>1</v>
      </c>
      <c r="U7" s="18">
        <v>0</v>
      </c>
      <c r="V7" s="18">
        <v>1</v>
      </c>
      <c r="W7" s="18"/>
      <c r="X7" s="18"/>
      <c r="Y7" s="18"/>
      <c r="Z7" s="18"/>
      <c r="AA7" s="18"/>
      <c r="AB7" s="18"/>
      <c r="AC7" s="18"/>
      <c r="AD7" s="18"/>
      <c r="AE7" s="18"/>
      <c r="AF7" s="18">
        <v>4</v>
      </c>
      <c r="AG7" s="18">
        <v>90</v>
      </c>
      <c r="AH7" s="16"/>
      <c r="AI7" s="18">
        <v>4</v>
      </c>
      <c r="AJ7" s="18">
        <v>90</v>
      </c>
      <c r="AK7" s="16"/>
      <c r="AL7" s="18">
        <v>4</v>
      </c>
      <c r="AM7" s="18">
        <v>4</v>
      </c>
      <c r="AN7" s="18">
        <v>4</v>
      </c>
      <c r="AO7" s="18">
        <v>0</v>
      </c>
      <c r="AP7" s="18">
        <v>0</v>
      </c>
      <c r="AQ7" s="18">
        <v>1</v>
      </c>
      <c r="AR7" s="18"/>
      <c r="AS7" s="18">
        <v>1</v>
      </c>
      <c r="AT7" s="18">
        <v>1</v>
      </c>
      <c r="AU7" s="18">
        <v>1</v>
      </c>
      <c r="AV7" s="18"/>
      <c r="AW7" s="18">
        <v>1</v>
      </c>
      <c r="AX7" s="18">
        <v>1</v>
      </c>
      <c r="AY7" s="16" t="s">
        <v>50</v>
      </c>
    </row>
    <row r="8" spans="1:51">
      <c r="A8" t="s">
        <v>270</v>
      </c>
      <c r="C8" s="11" t="s">
        <v>53</v>
      </c>
      <c r="D8" s="12">
        <v>68</v>
      </c>
      <c r="E8" s="12">
        <v>7.8</v>
      </c>
      <c r="F8" s="12"/>
      <c r="G8" s="12"/>
      <c r="H8" s="19">
        <v>43990</v>
      </c>
      <c r="I8" s="12">
        <f t="shared" si="0"/>
        <v>0.27857142857142858</v>
      </c>
      <c r="J8" s="12"/>
      <c r="K8" s="12"/>
      <c r="L8" s="12">
        <v>0</v>
      </c>
      <c r="M8" s="12">
        <v>28</v>
      </c>
      <c r="N8" s="12">
        <v>4</v>
      </c>
      <c r="O8" s="12"/>
      <c r="P8" s="14">
        <v>0</v>
      </c>
      <c r="Q8" s="14"/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/>
      <c r="X8" s="14">
        <v>8</v>
      </c>
      <c r="Y8" s="14"/>
      <c r="Z8" s="14"/>
      <c r="AA8" s="14"/>
      <c r="AB8" s="14"/>
      <c r="AC8" s="14"/>
      <c r="AD8" s="14"/>
      <c r="AE8" s="14"/>
      <c r="AF8" s="14">
        <v>1</v>
      </c>
      <c r="AG8" s="12">
        <v>10</v>
      </c>
      <c r="AH8" s="12" t="s">
        <v>54</v>
      </c>
      <c r="AI8" s="14">
        <v>1</v>
      </c>
      <c r="AJ8" s="12">
        <v>50</v>
      </c>
      <c r="AK8" s="12" t="s">
        <v>55</v>
      </c>
      <c r="AL8" s="12">
        <v>2</v>
      </c>
      <c r="AM8" s="12">
        <v>2</v>
      </c>
      <c r="AN8" s="12">
        <v>2</v>
      </c>
      <c r="AO8" s="12">
        <v>0</v>
      </c>
      <c r="AP8" s="12">
        <v>0</v>
      </c>
      <c r="AQ8" s="12">
        <v>0</v>
      </c>
      <c r="AR8" s="12"/>
      <c r="AS8" s="12">
        <v>0</v>
      </c>
      <c r="AT8" s="12">
        <v>0</v>
      </c>
      <c r="AU8" s="12">
        <v>0</v>
      </c>
      <c r="AV8" s="12"/>
      <c r="AW8" s="12">
        <v>0</v>
      </c>
      <c r="AX8" s="12">
        <v>0</v>
      </c>
      <c r="AY8" s="12" t="s">
        <v>37</v>
      </c>
    </row>
    <row r="9" spans="1:51">
      <c r="A9" t="s">
        <v>270</v>
      </c>
      <c r="C9" s="15" t="s">
        <v>56</v>
      </c>
      <c r="D9" s="16">
        <v>66</v>
      </c>
      <c r="E9" s="16">
        <v>6.3</v>
      </c>
      <c r="F9" s="16"/>
      <c r="G9" s="16"/>
      <c r="H9" s="17">
        <v>43451</v>
      </c>
      <c r="I9" s="12">
        <f t="shared" si="0"/>
        <v>0.15365853658536585</v>
      </c>
      <c r="J9" s="16"/>
      <c r="K9" s="16"/>
      <c r="L9" s="16">
        <v>1</v>
      </c>
      <c r="M9" s="16">
        <v>41</v>
      </c>
      <c r="N9" s="16">
        <v>5</v>
      </c>
      <c r="O9" s="16"/>
      <c r="P9" s="18">
        <v>1</v>
      </c>
      <c r="Q9" s="18"/>
      <c r="R9" s="18">
        <v>0</v>
      </c>
      <c r="S9" s="18">
        <v>1</v>
      </c>
      <c r="T9" s="18">
        <v>0</v>
      </c>
      <c r="U9" s="18">
        <v>0</v>
      </c>
      <c r="V9" s="18">
        <v>0</v>
      </c>
      <c r="W9" s="18"/>
      <c r="X9" s="18"/>
      <c r="Y9" s="18"/>
      <c r="Z9" s="18"/>
      <c r="AA9" s="18"/>
      <c r="AB9" s="18"/>
      <c r="AC9" s="18"/>
      <c r="AD9" s="18"/>
      <c r="AE9" s="18"/>
      <c r="AF9" s="18">
        <v>2</v>
      </c>
      <c r="AG9" s="16">
        <v>15</v>
      </c>
      <c r="AH9" s="16"/>
      <c r="AI9" s="18">
        <v>1</v>
      </c>
      <c r="AJ9" s="16"/>
      <c r="AK9" s="16"/>
      <c r="AL9" s="16">
        <v>3</v>
      </c>
      <c r="AM9" s="16">
        <v>3</v>
      </c>
      <c r="AN9" s="16">
        <v>3</v>
      </c>
      <c r="AO9" s="16">
        <v>0</v>
      </c>
      <c r="AP9" s="16">
        <v>0</v>
      </c>
      <c r="AQ9" s="16">
        <v>1</v>
      </c>
      <c r="AR9" s="16"/>
      <c r="AS9" s="16">
        <v>1</v>
      </c>
      <c r="AT9" s="16">
        <v>1</v>
      </c>
      <c r="AU9" s="16">
        <v>1</v>
      </c>
      <c r="AV9" s="16"/>
      <c r="AW9" s="16">
        <v>1</v>
      </c>
      <c r="AX9" s="16">
        <v>1</v>
      </c>
      <c r="AY9" s="16" t="s">
        <v>50</v>
      </c>
    </row>
    <row r="10" spans="1:51">
      <c r="A10" t="s">
        <v>270</v>
      </c>
      <c r="C10" s="11" t="s">
        <v>57</v>
      </c>
      <c r="D10" s="12">
        <v>64</v>
      </c>
      <c r="E10" s="12">
        <v>17.5</v>
      </c>
      <c r="F10" s="12"/>
      <c r="G10" s="12"/>
      <c r="H10" s="19">
        <v>44069</v>
      </c>
      <c r="I10" s="12">
        <f t="shared" si="0"/>
        <v>0.58333333333333337</v>
      </c>
      <c r="J10" s="12"/>
      <c r="K10" s="12"/>
      <c r="L10" s="12">
        <v>1</v>
      </c>
      <c r="M10" s="12">
        <v>30</v>
      </c>
      <c r="N10" s="12">
        <v>5</v>
      </c>
      <c r="O10" s="12"/>
      <c r="P10" s="14">
        <v>0</v>
      </c>
      <c r="Q10" s="14"/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/>
      <c r="X10" s="14"/>
      <c r="Y10" s="14"/>
      <c r="Z10" s="14"/>
      <c r="AA10" s="14"/>
      <c r="AB10" s="14"/>
      <c r="AC10" s="14"/>
      <c r="AD10" s="14"/>
      <c r="AE10" s="14"/>
      <c r="AF10" s="14">
        <v>1</v>
      </c>
      <c r="AG10" s="12"/>
      <c r="AH10" s="12"/>
      <c r="AI10" s="14">
        <v>1</v>
      </c>
      <c r="AJ10" s="12"/>
      <c r="AK10" s="12"/>
      <c r="AL10" s="12">
        <v>3</v>
      </c>
      <c r="AM10" s="12">
        <v>3</v>
      </c>
      <c r="AN10" s="12">
        <v>3</v>
      </c>
      <c r="AO10" s="12">
        <v>0</v>
      </c>
      <c r="AP10" s="12">
        <v>1</v>
      </c>
      <c r="AQ10" s="12">
        <v>1</v>
      </c>
      <c r="AR10" s="12"/>
      <c r="AS10" s="12">
        <v>1</v>
      </c>
      <c r="AT10" s="12">
        <v>1</v>
      </c>
      <c r="AU10" s="12">
        <v>0</v>
      </c>
      <c r="AV10" s="12"/>
      <c r="AW10" s="12">
        <v>0</v>
      </c>
      <c r="AX10" s="12">
        <v>0</v>
      </c>
      <c r="AY10" s="12" t="s">
        <v>58</v>
      </c>
    </row>
    <row r="11" spans="1:51">
      <c r="A11" t="s">
        <v>270</v>
      </c>
      <c r="C11" s="15" t="s">
        <v>59</v>
      </c>
      <c r="D11" s="16">
        <v>72</v>
      </c>
      <c r="E11" s="16">
        <v>5.9</v>
      </c>
      <c r="F11" s="16"/>
      <c r="G11" s="16"/>
      <c r="H11" s="17">
        <v>43300</v>
      </c>
      <c r="I11" s="12">
        <f t="shared" si="0"/>
        <v>0.2565217391304348</v>
      </c>
      <c r="J11" s="16"/>
      <c r="K11" s="16"/>
      <c r="L11" s="16">
        <v>1</v>
      </c>
      <c r="M11" s="16">
        <v>23</v>
      </c>
      <c r="N11" s="16">
        <v>5</v>
      </c>
      <c r="O11" s="16"/>
      <c r="P11" s="18">
        <v>1</v>
      </c>
      <c r="Q11" s="18"/>
      <c r="R11" s="18">
        <v>0</v>
      </c>
      <c r="S11" s="18">
        <v>1</v>
      </c>
      <c r="T11" s="18">
        <v>1</v>
      </c>
      <c r="U11" s="18">
        <v>1</v>
      </c>
      <c r="V11" s="18">
        <v>1</v>
      </c>
      <c r="W11" s="18"/>
      <c r="X11" s="18">
        <v>26</v>
      </c>
      <c r="Y11" s="18"/>
      <c r="Z11" s="18"/>
      <c r="AA11" s="18"/>
      <c r="AB11" s="18"/>
      <c r="AC11" s="18"/>
      <c r="AD11" s="18"/>
      <c r="AE11" s="18"/>
      <c r="AF11" s="18">
        <v>3</v>
      </c>
      <c r="AG11" s="16"/>
      <c r="AH11" s="16"/>
      <c r="AI11" s="18">
        <v>3</v>
      </c>
      <c r="AJ11" s="16"/>
      <c r="AK11" s="16"/>
      <c r="AL11" s="16">
        <v>4</v>
      </c>
      <c r="AM11" s="16">
        <v>4</v>
      </c>
      <c r="AN11" s="16">
        <v>4</v>
      </c>
      <c r="AO11" s="16">
        <v>0</v>
      </c>
      <c r="AP11" s="16">
        <v>0</v>
      </c>
      <c r="AQ11" s="16">
        <v>1</v>
      </c>
      <c r="AR11" s="16"/>
      <c r="AS11" s="16">
        <v>1</v>
      </c>
      <c r="AT11" s="16">
        <v>1</v>
      </c>
      <c r="AU11" s="16">
        <v>0</v>
      </c>
      <c r="AV11" s="16"/>
      <c r="AW11" s="16">
        <v>0</v>
      </c>
      <c r="AX11" s="16">
        <v>0</v>
      </c>
      <c r="AY11" s="16" t="s">
        <v>58</v>
      </c>
    </row>
    <row r="12" spans="1:51">
      <c r="A12" t="s">
        <v>270</v>
      </c>
      <c r="C12" s="11" t="s">
        <v>60</v>
      </c>
      <c r="D12" s="12">
        <v>61</v>
      </c>
      <c r="E12" s="12">
        <v>8</v>
      </c>
      <c r="F12" s="12"/>
      <c r="G12" s="12"/>
      <c r="H12" s="19">
        <v>43447</v>
      </c>
      <c r="I12" s="12">
        <f t="shared" si="0"/>
        <v>0.13559322033898305</v>
      </c>
      <c r="J12" s="12"/>
      <c r="K12" s="12"/>
      <c r="L12" s="12">
        <v>1</v>
      </c>
      <c r="M12" s="12">
        <v>59</v>
      </c>
      <c r="N12" s="12">
        <v>5</v>
      </c>
      <c r="O12" s="12"/>
      <c r="P12" s="14">
        <v>0</v>
      </c>
      <c r="Q12" s="14"/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/>
      <c r="X12" s="14">
        <v>10</v>
      </c>
      <c r="Y12" s="14"/>
      <c r="Z12" s="14"/>
      <c r="AA12" s="14"/>
      <c r="AB12" s="14"/>
      <c r="AC12" s="14"/>
      <c r="AD12" s="14"/>
      <c r="AE12" s="14"/>
      <c r="AF12" s="14">
        <v>1</v>
      </c>
      <c r="AG12" s="12"/>
      <c r="AH12" s="12"/>
      <c r="AI12" s="14">
        <v>2</v>
      </c>
      <c r="AJ12" s="12"/>
      <c r="AK12" s="12"/>
      <c r="AL12" s="12">
        <v>3</v>
      </c>
      <c r="AM12" s="12">
        <v>2</v>
      </c>
      <c r="AN12" s="12">
        <v>3</v>
      </c>
      <c r="AO12" s="12">
        <v>0</v>
      </c>
      <c r="AP12" s="12">
        <v>0</v>
      </c>
      <c r="AQ12" s="12">
        <v>0</v>
      </c>
      <c r="AR12" s="12"/>
      <c r="AS12" s="12">
        <v>0</v>
      </c>
      <c r="AT12" s="12">
        <v>0</v>
      </c>
      <c r="AU12" s="12">
        <v>0</v>
      </c>
      <c r="AV12" s="12"/>
      <c r="AW12" s="12">
        <v>0</v>
      </c>
      <c r="AX12" s="12">
        <v>0</v>
      </c>
      <c r="AY12" s="12" t="s">
        <v>37</v>
      </c>
    </row>
    <row r="13" spans="1:51">
      <c r="A13" t="s">
        <v>270</v>
      </c>
      <c r="C13" s="15" t="s">
        <v>61</v>
      </c>
      <c r="D13" s="16">
        <v>66</v>
      </c>
      <c r="E13" s="16">
        <v>5.7</v>
      </c>
      <c r="F13" s="16"/>
      <c r="G13" s="16"/>
      <c r="H13" s="17">
        <v>43665</v>
      </c>
      <c r="I13" s="12">
        <f t="shared" si="0"/>
        <v>0.21923076923076923</v>
      </c>
      <c r="J13" s="16"/>
      <c r="K13" s="16"/>
      <c r="L13" s="16">
        <v>1</v>
      </c>
      <c r="M13" s="16">
        <v>26</v>
      </c>
      <c r="N13" s="16">
        <v>4</v>
      </c>
      <c r="O13" s="16"/>
      <c r="P13" s="18">
        <v>0</v>
      </c>
      <c r="Q13" s="18"/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/>
      <c r="X13" s="18">
        <v>12</v>
      </c>
      <c r="Y13" s="18"/>
      <c r="Z13" s="18"/>
      <c r="AA13" s="18"/>
      <c r="AB13" s="18"/>
      <c r="AC13" s="18"/>
      <c r="AD13" s="18"/>
      <c r="AE13" s="18"/>
      <c r="AF13" s="18">
        <v>3</v>
      </c>
      <c r="AG13" s="16">
        <v>35</v>
      </c>
      <c r="AH13" s="16" t="s">
        <v>49</v>
      </c>
      <c r="AI13" s="18">
        <v>2</v>
      </c>
      <c r="AJ13" s="16">
        <v>7</v>
      </c>
      <c r="AK13" s="16" t="s">
        <v>62</v>
      </c>
      <c r="AL13" s="16">
        <v>4</v>
      </c>
      <c r="AM13" s="16">
        <v>4</v>
      </c>
      <c r="AN13" s="16">
        <v>2</v>
      </c>
      <c r="AO13" s="16">
        <v>0</v>
      </c>
      <c r="AP13" s="16">
        <v>0</v>
      </c>
      <c r="AQ13" s="16">
        <v>0</v>
      </c>
      <c r="AR13" s="16"/>
      <c r="AS13" s="16">
        <v>0</v>
      </c>
      <c r="AT13" s="16">
        <v>0</v>
      </c>
      <c r="AU13" s="16">
        <v>0</v>
      </c>
      <c r="AV13" s="16"/>
      <c r="AW13" s="16">
        <v>0</v>
      </c>
      <c r="AX13" s="16">
        <v>0</v>
      </c>
      <c r="AY13" s="16" t="s">
        <v>37</v>
      </c>
    </row>
    <row r="14" spans="1:51">
      <c r="A14" t="s">
        <v>270</v>
      </c>
      <c r="C14" s="11" t="s">
        <v>63</v>
      </c>
      <c r="D14" s="12">
        <v>68</v>
      </c>
      <c r="E14" s="12">
        <v>5.6</v>
      </c>
      <c r="F14" s="12"/>
      <c r="G14" s="12"/>
      <c r="H14" s="19">
        <v>42690</v>
      </c>
      <c r="I14" s="12">
        <f t="shared" si="0"/>
        <v>0.25454545454545452</v>
      </c>
      <c r="J14" s="12"/>
      <c r="K14" s="12"/>
      <c r="L14" s="12">
        <v>1</v>
      </c>
      <c r="M14" s="12">
        <v>22</v>
      </c>
      <c r="N14" s="12">
        <v>5</v>
      </c>
      <c r="O14" s="12"/>
      <c r="P14" s="14">
        <v>0</v>
      </c>
      <c r="Q14" s="14"/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/>
      <c r="X14" s="14">
        <v>11</v>
      </c>
      <c r="Y14" s="14"/>
      <c r="Z14" s="14"/>
      <c r="AA14" s="14"/>
      <c r="AB14" s="14"/>
      <c r="AC14" s="14"/>
      <c r="AD14" s="14"/>
      <c r="AE14" s="14"/>
      <c r="AF14" s="14">
        <v>2</v>
      </c>
      <c r="AG14" s="14">
        <v>70</v>
      </c>
      <c r="AH14" s="12" t="s">
        <v>36</v>
      </c>
      <c r="AI14" s="14">
        <v>1</v>
      </c>
      <c r="AJ14" s="12">
        <v>30</v>
      </c>
      <c r="AK14" s="12" t="s">
        <v>55</v>
      </c>
      <c r="AL14" s="12">
        <v>2</v>
      </c>
      <c r="AM14" s="12">
        <v>2</v>
      </c>
      <c r="AN14" s="12">
        <v>2</v>
      </c>
      <c r="AO14" s="12">
        <v>0</v>
      </c>
      <c r="AP14" s="12">
        <v>0</v>
      </c>
      <c r="AQ14" s="12">
        <v>0</v>
      </c>
      <c r="AR14" s="12"/>
      <c r="AS14" s="12">
        <v>0</v>
      </c>
      <c r="AT14" s="12">
        <v>0</v>
      </c>
      <c r="AU14" s="12">
        <v>0</v>
      </c>
      <c r="AV14" s="12"/>
      <c r="AW14" s="12">
        <v>0</v>
      </c>
      <c r="AX14" s="12">
        <v>0</v>
      </c>
      <c r="AY14" s="12" t="s">
        <v>37</v>
      </c>
    </row>
    <row r="15" spans="1:51">
      <c r="A15" t="s">
        <v>270</v>
      </c>
      <c r="C15" s="15" t="s">
        <v>64</v>
      </c>
      <c r="D15" s="16">
        <v>55</v>
      </c>
      <c r="E15" s="16">
        <v>15.2</v>
      </c>
      <c r="F15" s="16"/>
      <c r="G15" s="16"/>
      <c r="H15" s="17">
        <v>44007</v>
      </c>
      <c r="I15" s="12">
        <f t="shared" si="0"/>
        <v>0.5241379310344827</v>
      </c>
      <c r="J15" s="16"/>
      <c r="K15" s="16"/>
      <c r="L15" s="16">
        <v>1</v>
      </c>
      <c r="M15" s="16">
        <v>29</v>
      </c>
      <c r="N15" s="16">
        <v>4</v>
      </c>
      <c r="O15" s="16"/>
      <c r="P15" s="18">
        <v>0</v>
      </c>
      <c r="Q15" s="18"/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/>
      <c r="X15" s="18">
        <v>9</v>
      </c>
      <c r="Y15" s="18"/>
      <c r="Z15" s="18"/>
      <c r="AA15" s="18"/>
      <c r="AB15" s="18"/>
      <c r="AC15" s="18"/>
      <c r="AD15" s="18"/>
      <c r="AE15" s="18"/>
      <c r="AF15" s="18">
        <v>0</v>
      </c>
      <c r="AG15" s="16"/>
      <c r="AH15" s="16"/>
      <c r="AI15" s="18">
        <v>2</v>
      </c>
      <c r="AJ15" s="16">
        <v>70</v>
      </c>
      <c r="AK15" s="16" t="s">
        <v>65</v>
      </c>
      <c r="AL15" s="16">
        <v>2</v>
      </c>
      <c r="AM15" s="16">
        <v>2</v>
      </c>
      <c r="AN15" s="16">
        <v>2</v>
      </c>
      <c r="AO15" s="16">
        <v>0</v>
      </c>
      <c r="AP15" s="16">
        <v>0</v>
      </c>
      <c r="AQ15" s="16">
        <v>0</v>
      </c>
      <c r="AR15" s="16"/>
      <c r="AS15" s="16">
        <v>0</v>
      </c>
      <c r="AT15" s="16">
        <v>0</v>
      </c>
      <c r="AU15" s="16">
        <v>0</v>
      </c>
      <c r="AV15" s="16"/>
      <c r="AW15" s="16">
        <v>0</v>
      </c>
      <c r="AX15" s="16">
        <v>0</v>
      </c>
      <c r="AY15" s="16" t="s">
        <v>37</v>
      </c>
    </row>
    <row r="16" spans="1:51">
      <c r="A16" t="s">
        <v>270</v>
      </c>
      <c r="C16" s="11" t="s">
        <v>66</v>
      </c>
      <c r="D16" s="12">
        <v>68</v>
      </c>
      <c r="E16" s="12">
        <v>4.7</v>
      </c>
      <c r="F16" s="12"/>
      <c r="G16" s="12"/>
      <c r="H16" s="19">
        <v>43930</v>
      </c>
      <c r="I16" s="12">
        <f t="shared" si="0"/>
        <v>0.12702702702702703</v>
      </c>
      <c r="J16" s="12"/>
      <c r="K16" s="12"/>
      <c r="L16" s="12">
        <v>0</v>
      </c>
      <c r="M16" s="12">
        <v>37</v>
      </c>
      <c r="N16" s="12">
        <v>4</v>
      </c>
      <c r="O16" s="12"/>
      <c r="P16" s="14">
        <v>0</v>
      </c>
      <c r="Q16" s="14"/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/>
      <c r="X16" s="14">
        <v>10</v>
      </c>
      <c r="Y16" s="14"/>
      <c r="Z16" s="14"/>
      <c r="AA16" s="14"/>
      <c r="AB16" s="14"/>
      <c r="AC16" s="14"/>
      <c r="AD16" s="14"/>
      <c r="AE16" s="14"/>
      <c r="AF16" s="14">
        <v>1</v>
      </c>
      <c r="AG16" s="12">
        <v>10</v>
      </c>
      <c r="AH16" s="12" t="s">
        <v>67</v>
      </c>
      <c r="AI16" s="14">
        <v>5</v>
      </c>
      <c r="AJ16" s="12">
        <v>40</v>
      </c>
      <c r="AK16" s="12" t="s">
        <v>65</v>
      </c>
      <c r="AL16" s="12">
        <v>3</v>
      </c>
      <c r="AM16" s="12">
        <v>3</v>
      </c>
      <c r="AN16" s="12">
        <v>3</v>
      </c>
      <c r="AO16" s="12">
        <v>0</v>
      </c>
      <c r="AP16" s="12">
        <v>0</v>
      </c>
      <c r="AQ16" s="12">
        <v>0</v>
      </c>
      <c r="AR16" s="12"/>
      <c r="AS16" s="12">
        <v>0</v>
      </c>
      <c r="AT16" s="12">
        <v>0</v>
      </c>
      <c r="AU16" s="12">
        <v>0</v>
      </c>
      <c r="AV16" s="12"/>
      <c r="AW16" s="12">
        <v>0</v>
      </c>
      <c r="AX16" s="12">
        <v>0</v>
      </c>
      <c r="AY16" s="12" t="s">
        <v>37</v>
      </c>
    </row>
    <row r="17" spans="1:51">
      <c r="A17" t="s">
        <v>270</v>
      </c>
      <c r="C17" s="15" t="s">
        <v>68</v>
      </c>
      <c r="D17" s="16">
        <v>65</v>
      </c>
      <c r="E17" s="16">
        <v>7.8</v>
      </c>
      <c r="F17" s="16"/>
      <c r="G17" s="16"/>
      <c r="H17" s="17">
        <v>43096</v>
      </c>
      <c r="I17" s="12">
        <f t="shared" si="0"/>
        <v>0.13448275862068965</v>
      </c>
      <c r="J17" s="16"/>
      <c r="K17" s="16"/>
      <c r="L17" s="16">
        <v>1</v>
      </c>
      <c r="M17" s="16">
        <v>58</v>
      </c>
      <c r="N17" s="16">
        <v>5</v>
      </c>
      <c r="O17" s="16"/>
      <c r="P17" s="18">
        <v>1</v>
      </c>
      <c r="Q17" s="18"/>
      <c r="R17" s="18">
        <v>1</v>
      </c>
      <c r="S17" s="18">
        <v>0</v>
      </c>
      <c r="T17" s="18">
        <v>1</v>
      </c>
      <c r="U17" s="18">
        <v>1</v>
      </c>
      <c r="V17" s="18">
        <v>0</v>
      </c>
      <c r="W17" s="18"/>
      <c r="X17" s="18">
        <v>37</v>
      </c>
      <c r="Y17" s="18"/>
      <c r="Z17" s="18"/>
      <c r="AA17" s="18"/>
      <c r="AB17" s="18"/>
      <c r="AC17" s="18"/>
      <c r="AD17" s="18"/>
      <c r="AE17" s="18"/>
      <c r="AF17" s="18">
        <v>2</v>
      </c>
      <c r="AG17" s="16">
        <v>90</v>
      </c>
      <c r="AH17" s="16"/>
      <c r="AI17" s="18">
        <v>0</v>
      </c>
      <c r="AJ17" s="16"/>
      <c r="AK17" s="16"/>
      <c r="AL17" s="16">
        <v>5</v>
      </c>
      <c r="AM17" s="16">
        <v>4</v>
      </c>
      <c r="AN17" s="16">
        <v>5</v>
      </c>
      <c r="AO17" s="16">
        <v>0</v>
      </c>
      <c r="AP17" s="16">
        <v>1</v>
      </c>
      <c r="AQ17" s="16">
        <v>1</v>
      </c>
      <c r="AR17" s="16"/>
      <c r="AS17" s="16">
        <v>1</v>
      </c>
      <c r="AT17" s="16">
        <v>1</v>
      </c>
      <c r="AU17" s="16">
        <v>1</v>
      </c>
      <c r="AV17" s="16"/>
      <c r="AW17" s="16">
        <v>1</v>
      </c>
      <c r="AX17" s="16">
        <v>1</v>
      </c>
      <c r="AY17" s="16" t="s">
        <v>50</v>
      </c>
    </row>
    <row r="18" spans="1:51">
      <c r="A18" t="s">
        <v>270</v>
      </c>
      <c r="C18" s="11" t="s">
        <v>69</v>
      </c>
      <c r="D18" s="12">
        <v>51</v>
      </c>
      <c r="E18" s="12">
        <v>4.8</v>
      </c>
      <c r="F18" s="12"/>
      <c r="G18" s="12"/>
      <c r="H18" s="19">
        <v>43089</v>
      </c>
      <c r="I18" s="12">
        <f t="shared" si="0"/>
        <v>7.7419354838709681E-2</v>
      </c>
      <c r="J18" s="12"/>
      <c r="K18" s="12"/>
      <c r="L18" s="12">
        <v>1</v>
      </c>
      <c r="M18" s="12">
        <v>62</v>
      </c>
      <c r="N18" s="12">
        <v>4</v>
      </c>
      <c r="O18" s="12"/>
      <c r="P18" s="14">
        <v>0</v>
      </c>
      <c r="Q18" s="14"/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/>
      <c r="X18" s="14">
        <v>25</v>
      </c>
      <c r="Y18" s="14"/>
      <c r="Z18" s="14"/>
      <c r="AA18" s="14"/>
      <c r="AB18" s="14"/>
      <c r="AC18" s="14"/>
      <c r="AD18" s="14"/>
      <c r="AE18" s="14"/>
      <c r="AF18" s="14">
        <v>0</v>
      </c>
      <c r="AG18" s="12"/>
      <c r="AH18" s="12"/>
      <c r="AI18" s="14">
        <v>4</v>
      </c>
      <c r="AJ18" s="12">
        <v>70</v>
      </c>
      <c r="AK18" s="12"/>
      <c r="AL18" s="12">
        <v>2</v>
      </c>
      <c r="AM18" s="12">
        <v>2</v>
      </c>
      <c r="AN18" s="12">
        <v>2</v>
      </c>
      <c r="AO18" s="12">
        <v>0</v>
      </c>
      <c r="AP18" s="12">
        <v>0</v>
      </c>
      <c r="AQ18" s="12">
        <v>0</v>
      </c>
      <c r="AR18" s="12"/>
      <c r="AS18" s="12">
        <v>0</v>
      </c>
      <c r="AT18" s="12">
        <v>0</v>
      </c>
      <c r="AU18" s="12">
        <v>0</v>
      </c>
      <c r="AV18" s="12"/>
      <c r="AW18" s="12">
        <v>0</v>
      </c>
      <c r="AX18" s="12">
        <v>0</v>
      </c>
      <c r="AY18" s="12" t="s">
        <v>37</v>
      </c>
    </row>
    <row r="19" spans="1:51">
      <c r="A19" t="s">
        <v>270</v>
      </c>
      <c r="C19" s="15" t="s">
        <v>70</v>
      </c>
      <c r="D19" s="16">
        <v>68</v>
      </c>
      <c r="E19" s="16">
        <v>12.7</v>
      </c>
      <c r="F19" s="16"/>
      <c r="G19" s="16"/>
      <c r="H19" s="17">
        <v>42565</v>
      </c>
      <c r="I19" s="12">
        <f t="shared" si="0"/>
        <v>0.34324324324324323</v>
      </c>
      <c r="J19" s="16"/>
      <c r="K19" s="16"/>
      <c r="L19" s="16">
        <v>1</v>
      </c>
      <c r="M19" s="16">
        <v>37</v>
      </c>
      <c r="N19" s="16">
        <v>4</v>
      </c>
      <c r="O19" s="16"/>
      <c r="P19" s="18">
        <v>0</v>
      </c>
      <c r="Q19" s="18"/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/>
      <c r="X19" s="18">
        <v>12</v>
      </c>
      <c r="Y19" s="18"/>
      <c r="Z19" s="18"/>
      <c r="AA19" s="18"/>
      <c r="AB19" s="18"/>
      <c r="AC19" s="18"/>
      <c r="AD19" s="18"/>
      <c r="AE19" s="18"/>
      <c r="AF19" s="18">
        <v>1</v>
      </c>
      <c r="AG19" s="16">
        <v>30</v>
      </c>
      <c r="AH19" s="16"/>
      <c r="AI19" s="18">
        <v>0</v>
      </c>
      <c r="AJ19" s="16"/>
      <c r="AK19" s="16"/>
      <c r="AL19" s="16">
        <v>2</v>
      </c>
      <c r="AM19" s="16">
        <v>2</v>
      </c>
      <c r="AN19" s="16">
        <v>2</v>
      </c>
      <c r="AO19" s="16">
        <v>0</v>
      </c>
      <c r="AP19" s="16">
        <v>0</v>
      </c>
      <c r="AQ19" s="16">
        <v>1</v>
      </c>
      <c r="AR19" s="16"/>
      <c r="AS19" s="16">
        <v>1</v>
      </c>
      <c r="AT19" s="16">
        <v>0</v>
      </c>
      <c r="AU19" s="16">
        <v>0</v>
      </c>
      <c r="AV19" s="16"/>
      <c r="AW19" s="16">
        <v>0</v>
      </c>
      <c r="AX19" s="16">
        <v>0</v>
      </c>
      <c r="AY19" s="16" t="s">
        <v>58</v>
      </c>
    </row>
    <row r="20" spans="1:51">
      <c r="A20" t="s">
        <v>270</v>
      </c>
      <c r="C20" s="11" t="s">
        <v>71</v>
      </c>
      <c r="D20" s="12">
        <v>61</v>
      </c>
      <c r="E20" s="12">
        <v>2.2000000000000002</v>
      </c>
      <c r="F20" s="12"/>
      <c r="G20" s="12"/>
      <c r="H20" s="19">
        <v>43999</v>
      </c>
      <c r="I20" s="12">
        <f t="shared" si="0"/>
        <v>5.1162790697674425E-2</v>
      </c>
      <c r="J20" s="12"/>
      <c r="K20" s="12"/>
      <c r="L20" s="12">
        <v>1</v>
      </c>
      <c r="M20" s="12">
        <v>43</v>
      </c>
      <c r="N20" s="12">
        <v>5</v>
      </c>
      <c r="O20" s="12"/>
      <c r="P20" s="14">
        <v>0</v>
      </c>
      <c r="Q20" s="14"/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/>
      <c r="X20" s="14">
        <v>38</v>
      </c>
      <c r="Y20" s="14"/>
      <c r="Z20" s="14"/>
      <c r="AA20" s="14"/>
      <c r="AB20" s="14"/>
      <c r="AC20" s="14"/>
      <c r="AD20" s="14"/>
      <c r="AE20" s="14"/>
      <c r="AF20" s="14">
        <v>3</v>
      </c>
      <c r="AG20" s="12">
        <v>60</v>
      </c>
      <c r="AH20" s="12" t="s">
        <v>36</v>
      </c>
      <c r="AI20" s="14">
        <v>0</v>
      </c>
      <c r="AJ20" s="12"/>
      <c r="AK20" s="12"/>
      <c r="AL20" s="12">
        <v>3</v>
      </c>
      <c r="AM20" s="12">
        <v>3</v>
      </c>
      <c r="AN20" s="12">
        <v>3</v>
      </c>
      <c r="AO20" s="12">
        <v>1</v>
      </c>
      <c r="AP20" s="12">
        <v>0</v>
      </c>
      <c r="AQ20" s="12">
        <v>1</v>
      </c>
      <c r="AR20" s="12"/>
      <c r="AS20" s="12">
        <v>1</v>
      </c>
      <c r="AT20" s="12">
        <v>1</v>
      </c>
      <c r="AU20" s="12">
        <v>0</v>
      </c>
      <c r="AV20" s="12"/>
      <c r="AW20" s="12">
        <v>0</v>
      </c>
      <c r="AX20" s="12">
        <v>0</v>
      </c>
      <c r="AY20" s="12" t="s">
        <v>58</v>
      </c>
    </row>
    <row r="21" spans="1:51">
      <c r="A21" t="s">
        <v>270</v>
      </c>
      <c r="C21" s="15" t="s">
        <v>72</v>
      </c>
      <c r="D21" s="16">
        <v>76</v>
      </c>
      <c r="E21" s="16">
        <v>4.5999999999999996</v>
      </c>
      <c r="F21" s="16"/>
      <c r="G21" s="16"/>
      <c r="H21" s="17">
        <v>43937</v>
      </c>
      <c r="I21" s="12">
        <f t="shared" si="0"/>
        <v>5.609756097560975E-2</v>
      </c>
      <c r="J21" s="16"/>
      <c r="K21" s="16"/>
      <c r="L21" s="16">
        <v>1</v>
      </c>
      <c r="M21" s="16">
        <v>82</v>
      </c>
      <c r="N21" s="16">
        <v>4</v>
      </c>
      <c r="O21" s="16"/>
      <c r="P21" s="18">
        <v>0</v>
      </c>
      <c r="Q21" s="18"/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/>
      <c r="X21" s="18">
        <v>14</v>
      </c>
      <c r="Y21" s="18"/>
      <c r="Z21" s="18"/>
      <c r="AA21" s="18"/>
      <c r="AB21" s="18"/>
      <c r="AC21" s="18"/>
      <c r="AD21" s="18"/>
      <c r="AE21" s="18"/>
      <c r="AF21" s="18">
        <v>0</v>
      </c>
      <c r="AG21" s="16"/>
      <c r="AH21" s="16"/>
      <c r="AI21" s="18">
        <v>1</v>
      </c>
      <c r="AJ21" s="16"/>
      <c r="AK21" s="16" t="s">
        <v>73</v>
      </c>
      <c r="AL21" s="16">
        <v>2</v>
      </c>
      <c r="AM21" s="16">
        <v>2</v>
      </c>
      <c r="AN21" s="16">
        <v>2</v>
      </c>
      <c r="AO21" s="16">
        <v>0</v>
      </c>
      <c r="AP21" s="16">
        <v>0</v>
      </c>
      <c r="AQ21" s="16">
        <v>0</v>
      </c>
      <c r="AR21" s="16"/>
      <c r="AS21" s="16">
        <v>0</v>
      </c>
      <c r="AT21" s="16">
        <v>0</v>
      </c>
      <c r="AU21" s="16">
        <v>0</v>
      </c>
      <c r="AV21" s="16"/>
      <c r="AW21" s="16">
        <v>0</v>
      </c>
      <c r="AX21" s="16">
        <v>0</v>
      </c>
      <c r="AY21" s="16" t="s">
        <v>37</v>
      </c>
    </row>
    <row r="22" spans="1:51">
      <c r="A22" t="s">
        <v>270</v>
      </c>
      <c r="C22" s="11" t="s">
        <v>74</v>
      </c>
      <c r="D22" s="12">
        <v>69</v>
      </c>
      <c r="E22" s="12">
        <v>2.8</v>
      </c>
      <c r="F22" s="12"/>
      <c r="G22" s="12"/>
      <c r="H22" s="19">
        <v>44140</v>
      </c>
      <c r="I22" s="12">
        <f t="shared" si="0"/>
        <v>9.3333333333333324E-2</v>
      </c>
      <c r="J22" s="12"/>
      <c r="K22" s="12"/>
      <c r="L22" s="12">
        <v>1</v>
      </c>
      <c r="M22" s="12">
        <v>30</v>
      </c>
      <c r="N22" s="12">
        <v>4</v>
      </c>
      <c r="O22" s="12"/>
      <c r="P22" s="14">
        <v>0</v>
      </c>
      <c r="Q22" s="14"/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/>
      <c r="X22" s="14">
        <v>10</v>
      </c>
      <c r="Y22" s="14"/>
      <c r="Z22" s="14"/>
      <c r="AA22" s="14"/>
      <c r="AB22" s="14"/>
      <c r="AC22" s="14"/>
      <c r="AD22" s="14"/>
      <c r="AE22" s="14"/>
      <c r="AF22" s="14">
        <v>2</v>
      </c>
      <c r="AG22" s="12">
        <v>30</v>
      </c>
      <c r="AH22" s="12"/>
      <c r="AI22" s="14">
        <v>2</v>
      </c>
      <c r="AJ22" s="12">
        <v>30</v>
      </c>
      <c r="AK22" s="12"/>
      <c r="AL22" s="12">
        <v>2</v>
      </c>
      <c r="AM22" s="12">
        <v>2</v>
      </c>
      <c r="AN22" s="12">
        <v>2</v>
      </c>
      <c r="AO22" s="12">
        <v>0</v>
      </c>
      <c r="AP22" s="12">
        <v>0</v>
      </c>
      <c r="AQ22" s="12">
        <v>0</v>
      </c>
      <c r="AR22" s="12"/>
      <c r="AS22" s="12">
        <v>0</v>
      </c>
      <c r="AT22" s="12">
        <v>0</v>
      </c>
      <c r="AU22" s="12">
        <v>0</v>
      </c>
      <c r="AV22" s="12"/>
      <c r="AW22" s="12">
        <v>0</v>
      </c>
      <c r="AX22" s="12">
        <v>0</v>
      </c>
      <c r="AY22" s="12" t="s">
        <v>37</v>
      </c>
    </row>
    <row r="23" spans="1:51">
      <c r="A23" t="s">
        <v>270</v>
      </c>
      <c r="C23" s="15" t="s">
        <v>75</v>
      </c>
      <c r="D23" s="16">
        <v>61</v>
      </c>
      <c r="E23" s="16">
        <v>3.9</v>
      </c>
      <c r="F23" s="16"/>
      <c r="G23" s="16"/>
      <c r="H23" s="17">
        <v>43236</v>
      </c>
      <c r="I23" s="12">
        <f t="shared" si="0"/>
        <v>0.12580645161290321</v>
      </c>
      <c r="J23" s="16"/>
      <c r="K23" s="16"/>
      <c r="L23" s="16">
        <v>0</v>
      </c>
      <c r="M23" s="16">
        <v>31</v>
      </c>
      <c r="N23" s="16">
        <v>4</v>
      </c>
      <c r="O23" s="16"/>
      <c r="P23" s="18">
        <v>0</v>
      </c>
      <c r="Q23" s="18"/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/>
      <c r="X23" s="18">
        <v>12</v>
      </c>
      <c r="Y23" s="18"/>
      <c r="Z23" s="18"/>
      <c r="AA23" s="18"/>
      <c r="AB23" s="18"/>
      <c r="AC23" s="18"/>
      <c r="AD23" s="18"/>
      <c r="AE23" s="18"/>
      <c r="AF23" s="18">
        <v>1</v>
      </c>
      <c r="AG23" s="16"/>
      <c r="AH23" s="16"/>
      <c r="AI23" s="18">
        <v>1</v>
      </c>
      <c r="AJ23" s="16"/>
      <c r="AK23" s="16"/>
      <c r="AL23" s="16">
        <v>2</v>
      </c>
      <c r="AM23" s="16">
        <v>2</v>
      </c>
      <c r="AN23" s="16">
        <v>2</v>
      </c>
      <c r="AO23" s="16">
        <v>0</v>
      </c>
      <c r="AP23" s="16">
        <v>0</v>
      </c>
      <c r="AQ23" s="16">
        <v>0</v>
      </c>
      <c r="AR23" s="16"/>
      <c r="AS23" s="16">
        <v>0</v>
      </c>
      <c r="AT23" s="16">
        <v>0</v>
      </c>
      <c r="AU23" s="16">
        <v>0</v>
      </c>
      <c r="AV23" s="16"/>
      <c r="AW23" s="16">
        <v>0</v>
      </c>
      <c r="AX23" s="16">
        <v>0</v>
      </c>
      <c r="AY23" s="16" t="s">
        <v>37</v>
      </c>
    </row>
    <row r="24" spans="1:51">
      <c r="A24" t="s">
        <v>270</v>
      </c>
      <c r="C24" s="11" t="s">
        <v>76</v>
      </c>
      <c r="D24" s="12">
        <v>55</v>
      </c>
      <c r="E24" s="12">
        <v>10.8</v>
      </c>
      <c r="F24" s="12"/>
      <c r="G24" s="12"/>
      <c r="H24" s="19">
        <v>42613</v>
      </c>
      <c r="I24" s="12">
        <f t="shared" si="0"/>
        <v>0.27692307692307694</v>
      </c>
      <c r="J24" s="12"/>
      <c r="K24" s="12"/>
      <c r="L24" s="12">
        <v>1</v>
      </c>
      <c r="M24" s="12">
        <v>39</v>
      </c>
      <c r="N24" s="12">
        <v>5</v>
      </c>
      <c r="O24" s="12"/>
      <c r="P24" s="14">
        <v>0</v>
      </c>
      <c r="Q24" s="14"/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/>
      <c r="X24" s="14">
        <v>12</v>
      </c>
      <c r="Y24" s="14"/>
      <c r="Z24" s="14"/>
      <c r="AA24" s="14"/>
      <c r="AB24" s="14"/>
      <c r="AC24" s="14"/>
      <c r="AD24" s="14"/>
      <c r="AE24" s="14"/>
      <c r="AF24" s="14">
        <v>0</v>
      </c>
      <c r="AG24" s="12"/>
      <c r="AH24" s="12"/>
      <c r="AI24" s="14">
        <v>1</v>
      </c>
      <c r="AJ24" s="12">
        <v>1</v>
      </c>
      <c r="AK24" s="12" t="s">
        <v>77</v>
      </c>
      <c r="AL24" s="12">
        <v>1</v>
      </c>
      <c r="AM24" s="12">
        <v>1</v>
      </c>
      <c r="AN24" s="12">
        <v>1</v>
      </c>
      <c r="AO24" s="12">
        <v>0</v>
      </c>
      <c r="AP24" s="12">
        <v>0</v>
      </c>
      <c r="AQ24" s="12">
        <v>0</v>
      </c>
      <c r="AR24" s="12"/>
      <c r="AS24" s="12">
        <v>0</v>
      </c>
      <c r="AT24" s="12">
        <v>0</v>
      </c>
      <c r="AU24" s="12">
        <v>0</v>
      </c>
      <c r="AV24" s="12"/>
      <c r="AW24" s="12">
        <v>0</v>
      </c>
      <c r="AX24" s="12">
        <v>0</v>
      </c>
      <c r="AY24" s="12" t="s">
        <v>37</v>
      </c>
    </row>
    <row r="25" spans="1:51">
      <c r="A25" t="s">
        <v>270</v>
      </c>
      <c r="C25" s="15" t="s">
        <v>78</v>
      </c>
      <c r="D25" s="16">
        <v>62</v>
      </c>
      <c r="E25" s="16">
        <v>6.2</v>
      </c>
      <c r="F25" s="16"/>
      <c r="G25" s="16"/>
      <c r="H25" s="17">
        <v>43936</v>
      </c>
      <c r="I25" s="12">
        <f t="shared" si="0"/>
        <v>0.1409090909090909</v>
      </c>
      <c r="J25" s="16"/>
      <c r="K25" s="16"/>
      <c r="L25" s="16">
        <v>1</v>
      </c>
      <c r="M25" s="16">
        <v>44</v>
      </c>
      <c r="N25" s="16">
        <v>5</v>
      </c>
      <c r="O25" s="16"/>
      <c r="P25" s="18">
        <v>0</v>
      </c>
      <c r="Q25" s="18"/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/>
      <c r="X25" s="18">
        <v>26</v>
      </c>
      <c r="Y25" s="18"/>
      <c r="Z25" s="18"/>
      <c r="AA25" s="18"/>
      <c r="AB25" s="18"/>
      <c r="AC25" s="18"/>
      <c r="AD25" s="18"/>
      <c r="AE25" s="18"/>
      <c r="AF25" s="18">
        <v>2</v>
      </c>
      <c r="AG25" s="16"/>
      <c r="AH25" s="16"/>
      <c r="AI25" s="18">
        <v>3</v>
      </c>
      <c r="AJ25" s="16">
        <v>85</v>
      </c>
      <c r="AK25" s="16"/>
      <c r="AL25" s="16">
        <v>4</v>
      </c>
      <c r="AM25" s="16">
        <v>2</v>
      </c>
      <c r="AN25" s="16">
        <v>4</v>
      </c>
      <c r="AO25" s="16">
        <v>0</v>
      </c>
      <c r="AP25" s="16">
        <v>0</v>
      </c>
      <c r="AQ25" s="16">
        <v>1</v>
      </c>
      <c r="AR25" s="16"/>
      <c r="AS25" s="16">
        <v>1</v>
      </c>
      <c r="AT25" s="16">
        <v>0</v>
      </c>
      <c r="AU25" s="16">
        <v>0</v>
      </c>
      <c r="AV25" s="16"/>
      <c r="AW25" s="16">
        <v>0</v>
      </c>
      <c r="AX25" s="16">
        <v>0</v>
      </c>
      <c r="AY25" s="16" t="s">
        <v>58</v>
      </c>
    </row>
    <row r="26" spans="1:51">
      <c r="A26" t="s">
        <v>270</v>
      </c>
      <c r="C26" s="11" t="s">
        <v>79</v>
      </c>
      <c r="D26" s="12">
        <v>64</v>
      </c>
      <c r="E26" s="12">
        <v>8.3000000000000007</v>
      </c>
      <c r="F26" s="12"/>
      <c r="G26" s="12"/>
      <c r="H26" s="19">
        <v>43566</v>
      </c>
      <c r="I26" s="12">
        <f t="shared" si="0"/>
        <v>0.19302325581395349</v>
      </c>
      <c r="J26" s="12"/>
      <c r="K26" s="12"/>
      <c r="L26" s="12">
        <v>1</v>
      </c>
      <c r="M26" s="12">
        <v>43</v>
      </c>
      <c r="N26" s="12">
        <v>4</v>
      </c>
      <c r="O26" s="12"/>
      <c r="P26" s="14">
        <v>0</v>
      </c>
      <c r="Q26" s="14"/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/>
      <c r="X26" s="14">
        <v>13</v>
      </c>
      <c r="Y26" s="14"/>
      <c r="Z26" s="14"/>
      <c r="AA26" s="14"/>
      <c r="AB26" s="14"/>
      <c r="AC26" s="14"/>
      <c r="AD26" s="14"/>
      <c r="AE26" s="14"/>
      <c r="AF26" s="14">
        <v>1</v>
      </c>
      <c r="AG26" s="12">
        <v>15</v>
      </c>
      <c r="AH26" s="12"/>
      <c r="AI26" s="14">
        <v>2</v>
      </c>
      <c r="AJ26" s="12">
        <v>40</v>
      </c>
      <c r="AK26" s="12" t="s">
        <v>49</v>
      </c>
      <c r="AL26" s="12">
        <v>1</v>
      </c>
      <c r="AM26" s="12">
        <v>1</v>
      </c>
      <c r="AN26" s="12">
        <v>1</v>
      </c>
      <c r="AO26" s="12">
        <v>0</v>
      </c>
      <c r="AP26" s="12">
        <v>0</v>
      </c>
      <c r="AQ26" s="12">
        <v>1</v>
      </c>
      <c r="AR26" s="12"/>
      <c r="AS26" s="12">
        <v>1</v>
      </c>
      <c r="AT26" s="12">
        <v>1</v>
      </c>
      <c r="AU26" s="12">
        <v>1</v>
      </c>
      <c r="AV26" s="12"/>
      <c r="AW26" s="12">
        <v>0</v>
      </c>
      <c r="AX26" s="12">
        <v>1</v>
      </c>
      <c r="AY26" s="12" t="s">
        <v>50</v>
      </c>
    </row>
    <row r="27" spans="1:51">
      <c r="A27" t="s">
        <v>270</v>
      </c>
      <c r="C27" s="15" t="s">
        <v>80</v>
      </c>
      <c r="D27" s="16">
        <v>62</v>
      </c>
      <c r="E27" s="16">
        <v>2.9</v>
      </c>
      <c r="F27" s="16"/>
      <c r="G27" s="16"/>
      <c r="H27" s="17">
        <v>42335</v>
      </c>
      <c r="I27" s="12">
        <f t="shared" si="0"/>
        <v>7.2499999999999995E-2</v>
      </c>
      <c r="J27" s="16"/>
      <c r="K27" s="16"/>
      <c r="L27" s="16">
        <v>0</v>
      </c>
      <c r="M27" s="16">
        <v>40</v>
      </c>
      <c r="N27" s="16">
        <v>4</v>
      </c>
      <c r="O27" s="16"/>
      <c r="P27" s="18">
        <v>0</v>
      </c>
      <c r="Q27" s="18"/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/>
      <c r="X27" s="18">
        <v>14</v>
      </c>
      <c r="Y27" s="18"/>
      <c r="Z27" s="18"/>
      <c r="AA27" s="18"/>
      <c r="AB27" s="18"/>
      <c r="AC27" s="18"/>
      <c r="AD27" s="18"/>
      <c r="AE27" s="18"/>
      <c r="AF27" s="18">
        <v>1</v>
      </c>
      <c r="AG27" s="16">
        <v>30</v>
      </c>
      <c r="AH27" s="16" t="s">
        <v>81</v>
      </c>
      <c r="AI27" s="18">
        <v>0</v>
      </c>
      <c r="AJ27" s="16"/>
      <c r="AK27" s="16"/>
      <c r="AL27" s="16">
        <v>2</v>
      </c>
      <c r="AM27" s="16">
        <v>2</v>
      </c>
      <c r="AN27" s="16">
        <v>2</v>
      </c>
      <c r="AO27" s="16">
        <v>0</v>
      </c>
      <c r="AP27" s="16">
        <v>0</v>
      </c>
      <c r="AQ27" s="16">
        <v>0</v>
      </c>
      <c r="AR27" s="16"/>
      <c r="AS27" s="16">
        <v>0</v>
      </c>
      <c r="AT27" s="16">
        <v>0</v>
      </c>
      <c r="AU27" s="16">
        <v>0</v>
      </c>
      <c r="AV27" s="16"/>
      <c r="AW27" s="16">
        <v>0</v>
      </c>
      <c r="AX27" s="16">
        <v>0</v>
      </c>
      <c r="AY27" s="16" t="s">
        <v>37</v>
      </c>
    </row>
    <row r="28" spans="1:51">
      <c r="A28" t="s">
        <v>270</v>
      </c>
      <c r="C28" s="11" t="s">
        <v>82</v>
      </c>
      <c r="D28" s="12">
        <v>76</v>
      </c>
      <c r="E28" s="12">
        <v>21</v>
      </c>
      <c r="F28" s="12"/>
      <c r="G28" s="12"/>
      <c r="H28" s="19">
        <v>43496</v>
      </c>
      <c r="I28" s="12">
        <f t="shared" si="0"/>
        <v>0.46666666666666667</v>
      </c>
      <c r="J28" s="12"/>
      <c r="K28" s="12"/>
      <c r="L28" s="12">
        <v>1</v>
      </c>
      <c r="M28" s="12">
        <v>45</v>
      </c>
      <c r="N28" s="12">
        <v>4</v>
      </c>
      <c r="O28" s="12"/>
      <c r="P28" s="14">
        <v>0</v>
      </c>
      <c r="Q28" s="14"/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/>
      <c r="X28" s="14">
        <v>10</v>
      </c>
      <c r="Y28" s="14"/>
      <c r="Z28" s="14"/>
      <c r="AA28" s="14"/>
      <c r="AB28" s="14"/>
      <c r="AC28" s="14"/>
      <c r="AD28" s="14"/>
      <c r="AE28" s="14"/>
      <c r="AF28" s="14">
        <v>4</v>
      </c>
      <c r="AG28" s="12"/>
      <c r="AH28" s="12"/>
      <c r="AI28" s="14">
        <v>4</v>
      </c>
      <c r="AJ28" s="12"/>
      <c r="AK28" s="12"/>
      <c r="AL28" s="12">
        <v>4</v>
      </c>
      <c r="AM28" s="12">
        <v>4</v>
      </c>
      <c r="AN28" s="12">
        <v>4</v>
      </c>
      <c r="AO28" s="12">
        <v>0</v>
      </c>
      <c r="AP28" s="12">
        <v>0</v>
      </c>
      <c r="AQ28" s="12">
        <v>0</v>
      </c>
      <c r="AR28" s="12"/>
      <c r="AS28" s="12">
        <v>0</v>
      </c>
      <c r="AT28" s="12">
        <v>0</v>
      </c>
      <c r="AU28" s="12">
        <v>0</v>
      </c>
      <c r="AV28" s="12"/>
      <c r="AW28" s="12">
        <v>0</v>
      </c>
      <c r="AX28" s="12">
        <v>0</v>
      </c>
      <c r="AY28" s="12" t="s">
        <v>37</v>
      </c>
    </row>
    <row r="29" spans="1:51">
      <c r="A29" t="s">
        <v>270</v>
      </c>
      <c r="C29" s="15" t="s">
        <v>83</v>
      </c>
      <c r="D29" s="16">
        <v>66</v>
      </c>
      <c r="E29" s="16">
        <v>9</v>
      </c>
      <c r="F29" s="16"/>
      <c r="G29" s="16"/>
      <c r="H29" s="17">
        <v>42864</v>
      </c>
      <c r="I29" s="12">
        <f t="shared" si="0"/>
        <v>0.32142857142857145</v>
      </c>
      <c r="J29" s="16"/>
      <c r="K29" s="16"/>
      <c r="L29" s="16">
        <v>1</v>
      </c>
      <c r="M29" s="16">
        <v>28</v>
      </c>
      <c r="N29" s="16">
        <v>4</v>
      </c>
      <c r="O29" s="16"/>
      <c r="P29" s="18">
        <v>0</v>
      </c>
      <c r="Q29" s="18"/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/>
      <c r="X29" s="18">
        <v>9</v>
      </c>
      <c r="Y29" s="18"/>
      <c r="Z29" s="18"/>
      <c r="AA29" s="18"/>
      <c r="AB29" s="18"/>
      <c r="AC29" s="18"/>
      <c r="AD29" s="18"/>
      <c r="AE29" s="18"/>
      <c r="AF29" s="18">
        <v>1</v>
      </c>
      <c r="AG29" s="16">
        <v>6</v>
      </c>
      <c r="AH29" s="16"/>
      <c r="AI29" s="18">
        <v>3</v>
      </c>
      <c r="AJ29" s="16">
        <v>20</v>
      </c>
      <c r="AK29" s="16" t="s">
        <v>84</v>
      </c>
      <c r="AL29" s="16">
        <v>5</v>
      </c>
      <c r="AM29" s="16">
        <v>2</v>
      </c>
      <c r="AN29" s="16">
        <v>5</v>
      </c>
      <c r="AO29" s="16">
        <v>0</v>
      </c>
      <c r="AP29" s="16">
        <v>0</v>
      </c>
      <c r="AQ29" s="16">
        <v>1</v>
      </c>
      <c r="AR29" s="16"/>
      <c r="AS29" s="16">
        <v>1</v>
      </c>
      <c r="AT29" s="16">
        <v>0</v>
      </c>
      <c r="AU29" s="16">
        <v>1</v>
      </c>
      <c r="AV29" s="16"/>
      <c r="AW29" s="16">
        <v>1</v>
      </c>
      <c r="AX29" s="16">
        <v>0</v>
      </c>
      <c r="AY29" s="16" t="s">
        <v>50</v>
      </c>
    </row>
    <row r="30" spans="1:51">
      <c r="A30" t="s">
        <v>270</v>
      </c>
      <c r="C30" s="11" t="s">
        <v>85</v>
      </c>
      <c r="D30" s="12">
        <v>45</v>
      </c>
      <c r="E30" s="12">
        <v>12.2</v>
      </c>
      <c r="F30" s="12"/>
      <c r="G30" s="12"/>
      <c r="H30" s="19">
        <v>42402</v>
      </c>
      <c r="I30" s="12">
        <f t="shared" si="0"/>
        <v>0.46923076923076923</v>
      </c>
      <c r="J30" s="12"/>
      <c r="K30" s="12"/>
      <c r="L30" s="12">
        <v>1</v>
      </c>
      <c r="M30" s="12">
        <v>26</v>
      </c>
      <c r="N30" s="12"/>
      <c r="O30" s="12"/>
      <c r="P30" s="14">
        <v>1</v>
      </c>
      <c r="Q30" s="14"/>
      <c r="R30" s="14">
        <v>1</v>
      </c>
      <c r="S30" s="14">
        <v>1</v>
      </c>
      <c r="T30" s="14">
        <v>1</v>
      </c>
      <c r="U30" s="14">
        <v>1</v>
      </c>
      <c r="V30" s="14">
        <v>1</v>
      </c>
      <c r="W30" s="14"/>
      <c r="X30" s="14"/>
      <c r="Y30" s="14"/>
      <c r="Z30" s="14"/>
      <c r="AA30" s="14"/>
      <c r="AB30" s="14"/>
      <c r="AC30" s="14"/>
      <c r="AD30" s="14"/>
      <c r="AE30" s="14"/>
      <c r="AF30" s="14">
        <v>4</v>
      </c>
      <c r="AG30" s="12">
        <v>25</v>
      </c>
      <c r="AH30" s="12" t="s">
        <v>49</v>
      </c>
      <c r="AI30" s="14">
        <v>4</v>
      </c>
      <c r="AJ30" s="12">
        <v>30</v>
      </c>
      <c r="AK30" s="12" t="s">
        <v>86</v>
      </c>
      <c r="AL30" s="12">
        <v>5</v>
      </c>
      <c r="AM30" s="12">
        <v>5</v>
      </c>
      <c r="AN30" s="12">
        <v>5</v>
      </c>
      <c r="AO30" s="12">
        <v>0</v>
      </c>
      <c r="AP30" s="12">
        <v>1</v>
      </c>
      <c r="AQ30" s="12">
        <v>1</v>
      </c>
      <c r="AR30" s="12"/>
      <c r="AS30" s="12">
        <v>1</v>
      </c>
      <c r="AT30" s="12">
        <v>1</v>
      </c>
      <c r="AU30" s="12">
        <v>1</v>
      </c>
      <c r="AV30" s="12"/>
      <c r="AW30" s="12">
        <v>1</v>
      </c>
      <c r="AX30" s="12">
        <v>1</v>
      </c>
      <c r="AY30" s="12" t="s">
        <v>87</v>
      </c>
    </row>
    <row r="31" spans="1:51">
      <c r="A31" t="s">
        <v>270</v>
      </c>
      <c r="C31" s="15" t="s">
        <v>88</v>
      </c>
      <c r="D31" s="16">
        <v>63</v>
      </c>
      <c r="E31" s="16">
        <v>11</v>
      </c>
      <c r="F31" s="16"/>
      <c r="G31" s="16"/>
      <c r="H31" s="17">
        <v>42970</v>
      </c>
      <c r="I31" s="12">
        <f t="shared" si="0"/>
        <v>0.22</v>
      </c>
      <c r="J31" s="16"/>
      <c r="K31" s="16"/>
      <c r="L31" s="16">
        <v>1</v>
      </c>
      <c r="M31" s="16">
        <v>50</v>
      </c>
      <c r="N31" s="16">
        <v>5</v>
      </c>
      <c r="O31" s="16"/>
      <c r="P31" s="18">
        <v>0</v>
      </c>
      <c r="Q31" s="18"/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/>
      <c r="X31" s="18">
        <v>15</v>
      </c>
      <c r="Y31" s="18"/>
      <c r="Z31" s="18"/>
      <c r="AA31" s="18"/>
      <c r="AB31" s="18"/>
      <c r="AC31" s="18"/>
      <c r="AD31" s="18"/>
      <c r="AE31" s="18"/>
      <c r="AF31" s="18">
        <v>4</v>
      </c>
      <c r="AG31" s="16">
        <v>35</v>
      </c>
      <c r="AH31" s="16" t="s">
        <v>89</v>
      </c>
      <c r="AI31" s="18">
        <v>4</v>
      </c>
      <c r="AJ31" s="16">
        <v>70</v>
      </c>
      <c r="AK31" s="16" t="s">
        <v>90</v>
      </c>
      <c r="AL31" s="16">
        <v>4</v>
      </c>
      <c r="AM31" s="16">
        <v>4</v>
      </c>
      <c r="AN31" s="16">
        <v>4</v>
      </c>
      <c r="AO31" s="16">
        <v>0</v>
      </c>
      <c r="AP31" s="16">
        <v>0</v>
      </c>
      <c r="AQ31" s="16">
        <v>0</v>
      </c>
      <c r="AR31" s="16"/>
      <c r="AS31" s="16">
        <v>0</v>
      </c>
      <c r="AT31" s="16">
        <v>0</v>
      </c>
      <c r="AU31" s="16">
        <v>0</v>
      </c>
      <c r="AV31" s="16"/>
      <c r="AW31" s="16">
        <v>0</v>
      </c>
      <c r="AX31" s="16">
        <v>0</v>
      </c>
      <c r="AY31" s="16" t="s">
        <v>37</v>
      </c>
    </row>
    <row r="32" spans="1:51">
      <c r="A32" t="s">
        <v>270</v>
      </c>
      <c r="C32" s="11" t="s">
        <v>91</v>
      </c>
      <c r="D32" s="12">
        <v>71</v>
      </c>
      <c r="E32" s="12">
        <v>15.5</v>
      </c>
      <c r="F32" s="12"/>
      <c r="G32" s="12"/>
      <c r="H32" s="19">
        <v>44161</v>
      </c>
      <c r="I32" s="12">
        <f t="shared" si="0"/>
        <v>0.15048543689320387</v>
      </c>
      <c r="J32" s="12"/>
      <c r="K32" s="12"/>
      <c r="L32" s="12">
        <v>1</v>
      </c>
      <c r="M32" s="12">
        <v>103</v>
      </c>
      <c r="N32" s="12">
        <v>5</v>
      </c>
      <c r="O32" s="12"/>
      <c r="P32" s="14">
        <v>1</v>
      </c>
      <c r="Q32" s="14"/>
      <c r="R32" s="14">
        <v>0</v>
      </c>
      <c r="S32" s="14">
        <v>1</v>
      </c>
      <c r="T32" s="14">
        <v>0</v>
      </c>
      <c r="U32" s="14">
        <v>0</v>
      </c>
      <c r="V32" s="14">
        <v>0</v>
      </c>
      <c r="W32" s="14"/>
      <c r="X32" s="14">
        <v>25</v>
      </c>
      <c r="Y32" s="14"/>
      <c r="Z32" s="14"/>
      <c r="AA32" s="14"/>
      <c r="AB32" s="14"/>
      <c r="AC32" s="14"/>
      <c r="AD32" s="14"/>
      <c r="AE32" s="14"/>
      <c r="AF32" s="14">
        <v>4</v>
      </c>
      <c r="AG32" s="12">
        <v>70</v>
      </c>
      <c r="AH32" s="12" t="s">
        <v>42</v>
      </c>
      <c r="AI32" s="14">
        <v>0</v>
      </c>
      <c r="AJ32" s="12"/>
      <c r="AK32" s="12"/>
      <c r="AL32" s="12">
        <v>4</v>
      </c>
      <c r="AM32" s="12">
        <v>4</v>
      </c>
      <c r="AN32" s="12">
        <v>0</v>
      </c>
      <c r="AO32" s="12">
        <v>0</v>
      </c>
      <c r="AP32" s="12">
        <v>0</v>
      </c>
      <c r="AQ32" s="12">
        <v>1</v>
      </c>
      <c r="AR32" s="12"/>
      <c r="AS32" s="12">
        <v>0</v>
      </c>
      <c r="AT32" s="12">
        <v>1</v>
      </c>
      <c r="AU32" s="12">
        <v>1</v>
      </c>
      <c r="AV32" s="12"/>
      <c r="AW32" s="12">
        <v>0</v>
      </c>
      <c r="AX32" s="12">
        <v>1</v>
      </c>
      <c r="AY32" s="12" t="s">
        <v>50</v>
      </c>
    </row>
    <row r="33" spans="1:51">
      <c r="A33" t="s">
        <v>270</v>
      </c>
      <c r="C33" s="15" t="s">
        <v>92</v>
      </c>
      <c r="D33" s="16">
        <v>56</v>
      </c>
      <c r="E33" s="16">
        <v>5.3</v>
      </c>
      <c r="F33" s="16"/>
      <c r="G33" s="16"/>
      <c r="H33" s="17">
        <v>42927</v>
      </c>
      <c r="I33" s="12">
        <f t="shared" si="0"/>
        <v>0.1962962962962963</v>
      </c>
      <c r="J33" s="16"/>
      <c r="K33" s="16"/>
      <c r="L33" s="16">
        <v>1</v>
      </c>
      <c r="M33" s="16">
        <v>27</v>
      </c>
      <c r="N33" s="16">
        <v>5</v>
      </c>
      <c r="O33" s="16"/>
      <c r="P33" s="18">
        <v>1</v>
      </c>
      <c r="Q33" s="18"/>
      <c r="R33" s="18">
        <v>1</v>
      </c>
      <c r="S33" s="18">
        <v>1</v>
      </c>
      <c r="T33" s="18">
        <v>0</v>
      </c>
      <c r="U33" s="18">
        <v>0</v>
      </c>
      <c r="V33" s="18">
        <v>0</v>
      </c>
      <c r="W33" s="18"/>
      <c r="X33" s="18">
        <v>15</v>
      </c>
      <c r="Y33" s="18"/>
      <c r="Z33" s="18"/>
      <c r="AA33" s="18"/>
      <c r="AB33" s="18"/>
      <c r="AC33" s="18"/>
      <c r="AD33" s="18"/>
      <c r="AE33" s="18"/>
      <c r="AF33" s="18">
        <v>2</v>
      </c>
      <c r="AG33" s="16"/>
      <c r="AH33" s="16"/>
      <c r="AI33" s="18">
        <v>1</v>
      </c>
      <c r="AJ33" s="16"/>
      <c r="AK33" s="16"/>
      <c r="AL33" s="16">
        <v>1</v>
      </c>
      <c r="AM33" s="16">
        <v>1</v>
      </c>
      <c r="AN33" s="16">
        <v>1</v>
      </c>
      <c r="AO33" s="16">
        <v>0</v>
      </c>
      <c r="AP33" s="16">
        <v>0</v>
      </c>
      <c r="AQ33" s="16">
        <v>0</v>
      </c>
      <c r="AR33" s="16"/>
      <c r="AS33" s="16">
        <v>0</v>
      </c>
      <c r="AT33" s="16">
        <v>0</v>
      </c>
      <c r="AU33" s="16">
        <v>0</v>
      </c>
      <c r="AV33" s="16"/>
      <c r="AW33" s="16">
        <v>0</v>
      </c>
      <c r="AX33" s="16">
        <v>0</v>
      </c>
      <c r="AY33" s="16" t="s">
        <v>37</v>
      </c>
    </row>
    <row r="34" spans="1:51">
      <c r="A34" t="s">
        <v>270</v>
      </c>
      <c r="C34" s="11" t="s">
        <v>93</v>
      </c>
      <c r="D34" s="12">
        <v>62</v>
      </c>
      <c r="E34" s="12">
        <v>36</v>
      </c>
      <c r="F34" s="12"/>
      <c r="G34" s="12"/>
      <c r="H34" s="19">
        <v>43347</v>
      </c>
      <c r="I34" s="12">
        <f t="shared" si="0"/>
        <v>0.5714285714285714</v>
      </c>
      <c r="J34" s="12"/>
      <c r="K34" s="12"/>
      <c r="L34" s="12">
        <v>1</v>
      </c>
      <c r="M34" s="12">
        <v>63</v>
      </c>
      <c r="N34" s="12">
        <v>4</v>
      </c>
      <c r="O34" s="12"/>
      <c r="P34" s="14">
        <v>0</v>
      </c>
      <c r="Q34" s="14"/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/>
      <c r="X34" s="14">
        <v>18</v>
      </c>
      <c r="Y34" s="14"/>
      <c r="Z34" s="14"/>
      <c r="AA34" s="14"/>
      <c r="AB34" s="14"/>
      <c r="AC34" s="14"/>
      <c r="AD34" s="14"/>
      <c r="AE34" s="14"/>
      <c r="AF34" s="14">
        <v>4</v>
      </c>
      <c r="AG34" s="12">
        <v>80</v>
      </c>
      <c r="AH34" s="12" t="s">
        <v>42</v>
      </c>
      <c r="AI34" s="14">
        <v>1</v>
      </c>
      <c r="AJ34" s="12">
        <v>3</v>
      </c>
      <c r="AK34" s="12"/>
      <c r="AL34" s="12">
        <v>4</v>
      </c>
      <c r="AM34" s="12">
        <v>4</v>
      </c>
      <c r="AN34" s="12">
        <v>3</v>
      </c>
      <c r="AO34" s="12">
        <v>0</v>
      </c>
      <c r="AP34" s="12">
        <v>0</v>
      </c>
      <c r="AQ34" s="12">
        <v>1</v>
      </c>
      <c r="AR34" s="12"/>
      <c r="AS34" s="12">
        <v>0</v>
      </c>
      <c r="AT34" s="12">
        <v>1</v>
      </c>
      <c r="AU34" s="12">
        <v>0</v>
      </c>
      <c r="AV34" s="12"/>
      <c r="AW34" s="12">
        <v>0</v>
      </c>
      <c r="AX34" s="12">
        <v>0</v>
      </c>
      <c r="AY34" s="12" t="s">
        <v>58</v>
      </c>
    </row>
    <row r="35" spans="1:51">
      <c r="A35" t="s">
        <v>270</v>
      </c>
      <c r="C35" s="15" t="s">
        <v>94</v>
      </c>
      <c r="D35" s="16">
        <v>74</v>
      </c>
      <c r="E35" s="16">
        <v>10.199999999999999</v>
      </c>
      <c r="F35" s="16"/>
      <c r="G35" s="16"/>
      <c r="H35" s="17">
        <v>42845</v>
      </c>
      <c r="I35" s="12">
        <f t="shared" si="0"/>
        <v>0.2615384615384615</v>
      </c>
      <c r="J35" s="16"/>
      <c r="K35" s="16"/>
      <c r="L35" s="16">
        <v>1</v>
      </c>
      <c r="M35" s="16">
        <v>39</v>
      </c>
      <c r="N35" s="16">
        <v>5</v>
      </c>
      <c r="O35" s="16"/>
      <c r="P35" s="18">
        <v>0</v>
      </c>
      <c r="Q35" s="18"/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/>
      <c r="X35" s="18">
        <v>34</v>
      </c>
      <c r="Y35" s="18"/>
      <c r="Z35" s="18"/>
      <c r="AA35" s="18"/>
      <c r="AB35" s="18"/>
      <c r="AC35" s="18"/>
      <c r="AD35" s="18"/>
      <c r="AE35" s="18"/>
      <c r="AF35" s="18">
        <v>1</v>
      </c>
      <c r="AG35" s="16">
        <v>100</v>
      </c>
      <c r="AH35" s="16"/>
      <c r="AI35" s="18">
        <v>0</v>
      </c>
      <c r="AJ35" s="16"/>
      <c r="AK35" s="16"/>
      <c r="AL35" s="16">
        <v>1</v>
      </c>
      <c r="AM35" s="16">
        <v>1</v>
      </c>
      <c r="AN35" s="16">
        <v>1</v>
      </c>
      <c r="AO35" s="16">
        <v>0</v>
      </c>
      <c r="AP35" s="16">
        <v>0</v>
      </c>
      <c r="AQ35" s="16">
        <v>0</v>
      </c>
      <c r="AR35" s="16"/>
      <c r="AS35" s="16">
        <v>0</v>
      </c>
      <c r="AT35" s="16">
        <v>0</v>
      </c>
      <c r="AU35" s="16">
        <v>0</v>
      </c>
      <c r="AV35" s="16"/>
      <c r="AW35" s="16">
        <v>0</v>
      </c>
      <c r="AX35" s="16">
        <v>0</v>
      </c>
      <c r="AY35" s="16" t="s">
        <v>37</v>
      </c>
    </row>
    <row r="36" spans="1:51">
      <c r="A36" t="s">
        <v>270</v>
      </c>
      <c r="C36" s="11" t="s">
        <v>95</v>
      </c>
      <c r="D36" s="12">
        <v>59</v>
      </c>
      <c r="E36" s="12">
        <v>8.4</v>
      </c>
      <c r="F36" s="12"/>
      <c r="G36" s="12"/>
      <c r="H36" s="19">
        <v>43033</v>
      </c>
      <c r="I36" s="12">
        <f t="shared" si="0"/>
        <v>0.31111111111111112</v>
      </c>
      <c r="J36" s="12"/>
      <c r="K36" s="12"/>
      <c r="L36" s="12">
        <v>1</v>
      </c>
      <c r="M36" s="12">
        <v>27</v>
      </c>
      <c r="N36" s="12">
        <v>4</v>
      </c>
      <c r="O36" s="12"/>
      <c r="P36" s="14">
        <v>0</v>
      </c>
      <c r="Q36" s="14"/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/>
      <c r="X36" s="14">
        <v>11</v>
      </c>
      <c r="Y36" s="14"/>
      <c r="Z36" s="14"/>
      <c r="AA36" s="14"/>
      <c r="AB36" s="14"/>
      <c r="AC36" s="14"/>
      <c r="AD36" s="14"/>
      <c r="AE36" s="14"/>
      <c r="AF36" s="14">
        <v>1</v>
      </c>
      <c r="AG36" s="12">
        <v>60</v>
      </c>
      <c r="AH36" s="12" t="s">
        <v>77</v>
      </c>
      <c r="AI36" s="14">
        <v>2</v>
      </c>
      <c r="AJ36" s="12">
        <v>45</v>
      </c>
      <c r="AK36" s="12" t="s">
        <v>54</v>
      </c>
      <c r="AL36" s="12">
        <v>2</v>
      </c>
      <c r="AM36" s="12">
        <v>2</v>
      </c>
      <c r="AN36" s="12">
        <v>2</v>
      </c>
      <c r="AO36" s="12">
        <v>0</v>
      </c>
      <c r="AP36" s="12">
        <v>0</v>
      </c>
      <c r="AQ36" s="12">
        <v>0</v>
      </c>
      <c r="AR36" s="12"/>
      <c r="AS36" s="12">
        <v>0</v>
      </c>
      <c r="AT36" s="12">
        <v>0</v>
      </c>
      <c r="AU36" s="12">
        <v>0</v>
      </c>
      <c r="AV36" s="12"/>
      <c r="AW36" s="12">
        <v>0</v>
      </c>
      <c r="AX36" s="12">
        <v>0</v>
      </c>
      <c r="AY36" s="12" t="s">
        <v>37</v>
      </c>
    </row>
    <row r="37" spans="1:51">
      <c r="A37" t="s">
        <v>270</v>
      </c>
      <c r="C37" s="15" t="s">
        <v>96</v>
      </c>
      <c r="D37" s="16">
        <v>64</v>
      </c>
      <c r="E37" s="16">
        <v>8.6</v>
      </c>
      <c r="F37" s="16"/>
      <c r="G37" s="16"/>
      <c r="H37" s="17">
        <v>43377</v>
      </c>
      <c r="I37" s="12">
        <f t="shared" si="0"/>
        <v>0.2097560975609756</v>
      </c>
      <c r="J37" s="16"/>
      <c r="K37" s="16"/>
      <c r="L37" s="16">
        <v>1</v>
      </c>
      <c r="M37" s="16">
        <v>41</v>
      </c>
      <c r="N37" s="16">
        <v>4</v>
      </c>
      <c r="O37" s="16"/>
      <c r="P37" s="18">
        <v>0</v>
      </c>
      <c r="Q37" s="18"/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/>
      <c r="X37" s="18">
        <v>12</v>
      </c>
      <c r="Y37" s="18"/>
      <c r="Z37" s="18"/>
      <c r="AA37" s="18"/>
      <c r="AB37" s="18"/>
      <c r="AC37" s="18"/>
      <c r="AD37" s="18"/>
      <c r="AE37" s="18"/>
      <c r="AF37" s="18">
        <v>1</v>
      </c>
      <c r="AG37" s="16">
        <v>10</v>
      </c>
      <c r="AH37" s="16"/>
      <c r="AI37" s="18">
        <v>2</v>
      </c>
      <c r="AJ37" s="16">
        <v>30</v>
      </c>
      <c r="AK37" s="16"/>
      <c r="AL37" s="16">
        <v>2</v>
      </c>
      <c r="AM37" s="16">
        <v>2</v>
      </c>
      <c r="AN37" s="16">
        <v>2</v>
      </c>
      <c r="AO37" s="16">
        <v>1</v>
      </c>
      <c r="AP37" s="16">
        <v>0</v>
      </c>
      <c r="AQ37" s="16">
        <v>1</v>
      </c>
      <c r="AR37" s="16"/>
      <c r="AS37" s="16">
        <v>1</v>
      </c>
      <c r="AT37" s="16">
        <v>0</v>
      </c>
      <c r="AU37" s="16">
        <v>1</v>
      </c>
      <c r="AV37" s="16"/>
      <c r="AW37" s="16">
        <v>1</v>
      </c>
      <c r="AX37" s="16">
        <v>0</v>
      </c>
      <c r="AY37" s="16" t="s">
        <v>50</v>
      </c>
    </row>
    <row r="38" spans="1:51">
      <c r="A38" t="s">
        <v>270</v>
      </c>
      <c r="C38" s="11" t="s">
        <v>97</v>
      </c>
      <c r="D38" s="12">
        <v>66</v>
      </c>
      <c r="E38" s="12">
        <v>6.2</v>
      </c>
      <c r="F38" s="12"/>
      <c r="G38" s="12"/>
      <c r="H38" s="19">
        <v>43930</v>
      </c>
      <c r="I38" s="12">
        <f t="shared" si="0"/>
        <v>0.19375000000000001</v>
      </c>
      <c r="J38" s="12"/>
      <c r="K38" s="12"/>
      <c r="L38" s="12">
        <v>0</v>
      </c>
      <c r="M38" s="12">
        <v>32</v>
      </c>
      <c r="N38" s="12">
        <v>4</v>
      </c>
      <c r="O38" s="12"/>
      <c r="P38" s="14">
        <v>0</v>
      </c>
      <c r="Q38" s="14"/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/>
      <c r="X38" s="14">
        <v>14</v>
      </c>
      <c r="Y38" s="14"/>
      <c r="Z38" s="14"/>
      <c r="AA38" s="14"/>
      <c r="AB38" s="14"/>
      <c r="AC38" s="14"/>
      <c r="AD38" s="14"/>
      <c r="AE38" s="14"/>
      <c r="AF38" s="14">
        <v>1</v>
      </c>
      <c r="AG38" s="12"/>
      <c r="AH38" s="12" t="s">
        <v>77</v>
      </c>
      <c r="AI38" s="14">
        <v>0</v>
      </c>
      <c r="AJ38" s="12"/>
      <c r="AK38" s="12"/>
      <c r="AL38" s="12">
        <v>2</v>
      </c>
      <c r="AM38" s="12">
        <v>2</v>
      </c>
      <c r="AN38" s="12">
        <v>2</v>
      </c>
      <c r="AO38" s="12">
        <v>0</v>
      </c>
      <c r="AP38" s="12">
        <v>0</v>
      </c>
      <c r="AQ38" s="12">
        <v>0</v>
      </c>
      <c r="AR38" s="12"/>
      <c r="AS38" s="12">
        <v>0</v>
      </c>
      <c r="AT38" s="12">
        <v>0</v>
      </c>
      <c r="AU38" s="12">
        <v>0</v>
      </c>
      <c r="AV38" s="12"/>
      <c r="AW38" s="12">
        <v>0</v>
      </c>
      <c r="AX38" s="12">
        <v>0</v>
      </c>
      <c r="AY38" s="12" t="s">
        <v>37</v>
      </c>
    </row>
    <row r="39" spans="1:51">
      <c r="A39" t="s">
        <v>270</v>
      </c>
      <c r="C39" s="15" t="s">
        <v>98</v>
      </c>
      <c r="D39" s="16">
        <v>69</v>
      </c>
      <c r="E39" s="16">
        <v>11</v>
      </c>
      <c r="F39" s="16"/>
      <c r="G39" s="16"/>
      <c r="H39" s="17">
        <v>44151</v>
      </c>
      <c r="I39" s="12">
        <f t="shared" si="0"/>
        <v>0.19642857142857142</v>
      </c>
      <c r="J39" s="16"/>
      <c r="K39" s="16"/>
      <c r="L39" s="16">
        <v>1</v>
      </c>
      <c r="M39" s="16">
        <v>56</v>
      </c>
      <c r="N39" s="16">
        <v>5</v>
      </c>
      <c r="O39" s="16"/>
      <c r="P39" s="18">
        <v>1</v>
      </c>
      <c r="Q39" s="18"/>
      <c r="R39" s="18">
        <v>0</v>
      </c>
      <c r="S39" s="18">
        <v>1</v>
      </c>
      <c r="T39" s="18">
        <v>0</v>
      </c>
      <c r="U39" s="18">
        <v>0</v>
      </c>
      <c r="V39" s="18">
        <v>0</v>
      </c>
      <c r="W39" s="18"/>
      <c r="X39" s="18">
        <v>35</v>
      </c>
      <c r="Y39" s="18"/>
      <c r="Z39" s="18"/>
      <c r="AA39" s="18"/>
      <c r="AB39" s="18"/>
      <c r="AC39" s="18"/>
      <c r="AD39" s="18"/>
      <c r="AE39" s="18"/>
      <c r="AF39" s="18">
        <v>2</v>
      </c>
      <c r="AG39" s="16">
        <v>30</v>
      </c>
      <c r="AH39" s="16"/>
      <c r="AI39" s="18">
        <v>4</v>
      </c>
      <c r="AJ39" s="16">
        <v>20</v>
      </c>
      <c r="AK39" s="16"/>
      <c r="AL39" s="16">
        <v>4</v>
      </c>
      <c r="AM39" s="16">
        <v>4</v>
      </c>
      <c r="AN39" s="16">
        <v>4</v>
      </c>
      <c r="AO39" s="16">
        <v>1</v>
      </c>
      <c r="AP39" s="16">
        <v>1</v>
      </c>
      <c r="AQ39" s="16">
        <v>1</v>
      </c>
      <c r="AR39" s="16"/>
      <c r="AS39" s="16">
        <v>1</v>
      </c>
      <c r="AT39" s="16">
        <v>1</v>
      </c>
      <c r="AU39" s="16">
        <v>1</v>
      </c>
      <c r="AV39" s="16"/>
      <c r="AW39" s="16">
        <v>1</v>
      </c>
      <c r="AX39" s="16">
        <v>1</v>
      </c>
      <c r="AY39" s="16" t="s">
        <v>50</v>
      </c>
    </row>
    <row r="40" spans="1:51">
      <c r="A40" t="s">
        <v>270</v>
      </c>
      <c r="C40" s="11" t="s">
        <v>99</v>
      </c>
      <c r="D40" s="12">
        <v>74</v>
      </c>
      <c r="E40" s="12">
        <v>21</v>
      </c>
      <c r="F40" s="12"/>
      <c r="G40" s="12"/>
      <c r="H40" s="19">
        <v>43433</v>
      </c>
      <c r="I40" s="12">
        <f t="shared" si="0"/>
        <v>0.48837209302325579</v>
      </c>
      <c r="J40" s="12"/>
      <c r="K40" s="12"/>
      <c r="L40" s="12">
        <v>1</v>
      </c>
      <c r="M40" s="12">
        <v>43</v>
      </c>
      <c r="N40" s="12">
        <v>5</v>
      </c>
      <c r="O40" s="12"/>
      <c r="P40" s="14">
        <v>0</v>
      </c>
      <c r="Q40" s="14"/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/>
      <c r="X40" s="14">
        <v>18</v>
      </c>
      <c r="Y40" s="14"/>
      <c r="Z40" s="14"/>
      <c r="AA40" s="14"/>
      <c r="AB40" s="14"/>
      <c r="AC40" s="14"/>
      <c r="AD40" s="14"/>
      <c r="AE40" s="14"/>
      <c r="AF40" s="14">
        <v>2</v>
      </c>
      <c r="AG40" s="12">
        <v>30</v>
      </c>
      <c r="AH40" s="12"/>
      <c r="AI40" s="14">
        <v>2</v>
      </c>
      <c r="AJ40" s="12">
        <v>30</v>
      </c>
      <c r="AK40" s="12"/>
      <c r="AL40" s="12">
        <v>2</v>
      </c>
      <c r="AM40" s="12">
        <v>2</v>
      </c>
      <c r="AN40" s="12">
        <v>2</v>
      </c>
      <c r="AO40" s="12">
        <v>0</v>
      </c>
      <c r="AP40" s="12">
        <v>0</v>
      </c>
      <c r="AQ40" s="12">
        <v>0</v>
      </c>
      <c r="AR40" s="12"/>
      <c r="AS40" s="12">
        <v>0</v>
      </c>
      <c r="AT40" s="12">
        <v>0</v>
      </c>
      <c r="AU40" s="12">
        <v>0</v>
      </c>
      <c r="AV40" s="12"/>
      <c r="AW40" s="12">
        <v>0</v>
      </c>
      <c r="AX40" s="12">
        <v>0</v>
      </c>
      <c r="AY40" s="12" t="s">
        <v>37</v>
      </c>
    </row>
    <row r="41" spans="1:51">
      <c r="A41" t="s">
        <v>270</v>
      </c>
      <c r="C41" s="15" t="s">
        <v>100</v>
      </c>
      <c r="D41" s="16">
        <v>67</v>
      </c>
      <c r="E41" s="16">
        <v>1.3</v>
      </c>
      <c r="F41" s="16"/>
      <c r="G41" s="16"/>
      <c r="H41" s="17">
        <v>43210</v>
      </c>
      <c r="I41" s="12">
        <f t="shared" si="0"/>
        <v>6.1904761904761907E-2</v>
      </c>
      <c r="J41" s="16"/>
      <c r="K41" s="16"/>
      <c r="L41" s="16">
        <v>1</v>
      </c>
      <c r="M41" s="16">
        <v>21</v>
      </c>
      <c r="N41" s="16">
        <v>3</v>
      </c>
      <c r="O41" s="16"/>
      <c r="P41" s="18">
        <v>0</v>
      </c>
      <c r="Q41" s="18"/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/>
      <c r="X41" s="18">
        <v>10</v>
      </c>
      <c r="Y41" s="18"/>
      <c r="Z41" s="18"/>
      <c r="AA41" s="18"/>
      <c r="AB41" s="18"/>
      <c r="AC41" s="18"/>
      <c r="AD41" s="18"/>
      <c r="AE41" s="18"/>
      <c r="AF41" s="18">
        <v>0</v>
      </c>
      <c r="AG41" s="16"/>
      <c r="AH41" s="16"/>
      <c r="AI41" s="18">
        <v>2</v>
      </c>
      <c r="AJ41" s="16">
        <v>5</v>
      </c>
      <c r="AK41" s="16"/>
      <c r="AL41" s="16">
        <v>2</v>
      </c>
      <c r="AM41" s="16">
        <v>2</v>
      </c>
      <c r="AN41" s="16">
        <v>2</v>
      </c>
      <c r="AO41" s="16">
        <v>0</v>
      </c>
      <c r="AP41" s="16">
        <v>0</v>
      </c>
      <c r="AQ41" s="16">
        <v>0</v>
      </c>
      <c r="AR41" s="16"/>
      <c r="AS41" s="16">
        <v>0</v>
      </c>
      <c r="AT41" s="16">
        <v>0</v>
      </c>
      <c r="AU41" s="16">
        <v>0</v>
      </c>
      <c r="AV41" s="16"/>
      <c r="AW41" s="16">
        <v>0</v>
      </c>
      <c r="AX41" s="16">
        <v>0</v>
      </c>
      <c r="AY41" s="16" t="s">
        <v>37</v>
      </c>
    </row>
    <row r="42" spans="1:51">
      <c r="A42" t="s">
        <v>270</v>
      </c>
      <c r="C42" s="11" t="s">
        <v>101</v>
      </c>
      <c r="D42" s="12">
        <v>74</v>
      </c>
      <c r="E42" s="12">
        <v>13.1</v>
      </c>
      <c r="F42" s="12"/>
      <c r="G42" s="12"/>
      <c r="H42" s="19">
        <v>44035</v>
      </c>
      <c r="I42" s="12">
        <f t="shared" si="0"/>
        <v>0.4517241379310345</v>
      </c>
      <c r="J42" s="12"/>
      <c r="K42" s="12"/>
      <c r="L42" s="12">
        <v>1</v>
      </c>
      <c r="M42" s="12">
        <v>29</v>
      </c>
      <c r="N42" s="12">
        <v>5</v>
      </c>
      <c r="O42" s="12"/>
      <c r="P42" s="14">
        <v>0</v>
      </c>
      <c r="Q42" s="14"/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/>
      <c r="X42" s="14">
        <v>16</v>
      </c>
      <c r="Y42" s="14"/>
      <c r="Z42" s="14"/>
      <c r="AA42" s="14"/>
      <c r="AB42" s="14"/>
      <c r="AC42" s="14"/>
      <c r="AD42" s="14"/>
      <c r="AE42" s="14"/>
      <c r="AF42" s="14">
        <v>1</v>
      </c>
      <c r="AG42" s="12">
        <v>4</v>
      </c>
      <c r="AH42" s="12" t="s">
        <v>81</v>
      </c>
      <c r="AI42" s="14">
        <v>2</v>
      </c>
      <c r="AJ42" s="12">
        <v>60</v>
      </c>
      <c r="AK42" s="12" t="s">
        <v>86</v>
      </c>
      <c r="AL42" s="12">
        <v>3</v>
      </c>
      <c r="AM42" s="12">
        <v>3</v>
      </c>
      <c r="AN42" s="12">
        <v>3</v>
      </c>
      <c r="AO42" s="12">
        <v>0</v>
      </c>
      <c r="AP42" s="12">
        <v>0</v>
      </c>
      <c r="AQ42" s="12">
        <v>1</v>
      </c>
      <c r="AR42" s="12"/>
      <c r="AS42" s="12">
        <v>1</v>
      </c>
      <c r="AT42" s="12">
        <v>0</v>
      </c>
      <c r="AU42" s="12">
        <v>0</v>
      </c>
      <c r="AV42" s="12"/>
      <c r="AW42" s="12">
        <v>0</v>
      </c>
      <c r="AX42" s="12">
        <v>0</v>
      </c>
      <c r="AY42" s="12" t="s">
        <v>58</v>
      </c>
    </row>
    <row r="43" spans="1:51">
      <c r="A43" t="s">
        <v>270</v>
      </c>
      <c r="C43" s="15" t="s">
        <v>102</v>
      </c>
      <c r="D43" s="16">
        <v>62</v>
      </c>
      <c r="E43" s="16">
        <v>4.3</v>
      </c>
      <c r="F43" s="16"/>
      <c r="G43" s="16"/>
      <c r="H43" s="17">
        <v>42486</v>
      </c>
      <c r="I43" s="12">
        <f t="shared" si="0"/>
        <v>0.15925925925925924</v>
      </c>
      <c r="J43" s="16"/>
      <c r="K43" s="16"/>
      <c r="L43" s="16">
        <v>1</v>
      </c>
      <c r="M43" s="16">
        <v>27</v>
      </c>
      <c r="N43" s="16">
        <v>5</v>
      </c>
      <c r="O43" s="16"/>
      <c r="P43" s="18">
        <v>0</v>
      </c>
      <c r="Q43" s="18"/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/>
      <c r="X43" s="18">
        <v>16</v>
      </c>
      <c r="Y43" s="18"/>
      <c r="Z43" s="18"/>
      <c r="AA43" s="18"/>
      <c r="AB43" s="18"/>
      <c r="AC43" s="18"/>
      <c r="AD43" s="18"/>
      <c r="AE43" s="18"/>
      <c r="AF43" s="18">
        <v>2</v>
      </c>
      <c r="AG43" s="16">
        <v>90</v>
      </c>
      <c r="AH43" s="16"/>
      <c r="AI43" s="18">
        <v>0</v>
      </c>
      <c r="AJ43" s="16"/>
      <c r="AK43" s="16"/>
      <c r="AL43" s="16">
        <v>3</v>
      </c>
      <c r="AM43" s="16">
        <v>3</v>
      </c>
      <c r="AN43" s="16">
        <v>3</v>
      </c>
      <c r="AO43" s="16">
        <v>0</v>
      </c>
      <c r="AP43" s="16">
        <v>0</v>
      </c>
      <c r="AQ43" s="16">
        <v>0</v>
      </c>
      <c r="AR43" s="16"/>
      <c r="AS43" s="16">
        <v>0</v>
      </c>
      <c r="AT43" s="16">
        <v>0</v>
      </c>
      <c r="AU43" s="16">
        <v>0</v>
      </c>
      <c r="AV43" s="16"/>
      <c r="AW43" s="16">
        <v>0</v>
      </c>
      <c r="AX43" s="16">
        <v>0</v>
      </c>
      <c r="AY43" s="16" t="s">
        <v>37</v>
      </c>
    </row>
    <row r="44" spans="1:51">
      <c r="A44" t="s">
        <v>270</v>
      </c>
      <c r="C44" s="11" t="s">
        <v>103</v>
      </c>
      <c r="D44" s="12">
        <v>65</v>
      </c>
      <c r="E44" s="12">
        <v>5.5</v>
      </c>
      <c r="F44" s="12"/>
      <c r="G44" s="12"/>
      <c r="H44" s="19">
        <v>44138</v>
      </c>
      <c r="I44" s="12">
        <f t="shared" si="0"/>
        <v>0.10185185185185185</v>
      </c>
      <c r="J44" s="12"/>
      <c r="K44" s="12"/>
      <c r="L44" s="12">
        <v>1</v>
      </c>
      <c r="M44" s="12">
        <v>54</v>
      </c>
      <c r="N44" s="12">
        <v>5</v>
      </c>
      <c r="O44" s="12"/>
      <c r="P44" s="14">
        <v>0</v>
      </c>
      <c r="Q44" s="14"/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/>
      <c r="X44" s="14">
        <v>25</v>
      </c>
      <c r="Y44" s="14"/>
      <c r="Z44" s="14"/>
      <c r="AA44" s="14"/>
      <c r="AB44" s="14"/>
      <c r="AC44" s="14"/>
      <c r="AD44" s="14"/>
      <c r="AE44" s="14"/>
      <c r="AF44" s="14">
        <v>2</v>
      </c>
      <c r="AG44" s="12"/>
      <c r="AH44" s="12"/>
      <c r="AI44" s="14">
        <v>2</v>
      </c>
      <c r="AJ44" s="12"/>
      <c r="AK44" s="12"/>
      <c r="AL44" s="12">
        <v>3</v>
      </c>
      <c r="AM44" s="12">
        <v>3</v>
      </c>
      <c r="AN44" s="12">
        <v>3</v>
      </c>
      <c r="AO44" s="12">
        <v>1</v>
      </c>
      <c r="AP44" s="12">
        <v>0</v>
      </c>
      <c r="AQ44" s="12">
        <v>0</v>
      </c>
      <c r="AR44" s="12"/>
      <c r="AS44" s="12">
        <v>0</v>
      </c>
      <c r="AT44" s="12">
        <v>0</v>
      </c>
      <c r="AU44" s="12">
        <v>0</v>
      </c>
      <c r="AV44" s="12"/>
      <c r="AW44" s="12">
        <v>0</v>
      </c>
      <c r="AX44" s="12">
        <v>0</v>
      </c>
      <c r="AY44" s="12" t="s">
        <v>37</v>
      </c>
    </row>
    <row r="45" spans="1:51">
      <c r="A45" t="s">
        <v>270</v>
      </c>
      <c r="C45" s="15" t="s">
        <v>104</v>
      </c>
      <c r="D45" s="16">
        <v>71</v>
      </c>
      <c r="E45" s="16">
        <v>6.8</v>
      </c>
      <c r="F45" s="16"/>
      <c r="G45" s="16"/>
      <c r="H45" s="17">
        <v>43439</v>
      </c>
      <c r="I45" s="12">
        <f t="shared" si="0"/>
        <v>7.0103092783505155E-2</v>
      </c>
      <c r="J45" s="16"/>
      <c r="K45" s="16"/>
      <c r="L45" s="16">
        <v>1</v>
      </c>
      <c r="M45" s="16">
        <v>97</v>
      </c>
      <c r="N45" s="16">
        <v>4</v>
      </c>
      <c r="O45" s="16"/>
      <c r="P45" s="18">
        <v>0</v>
      </c>
      <c r="Q45" s="18"/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/>
      <c r="X45" s="18">
        <v>12</v>
      </c>
      <c r="Y45" s="18"/>
      <c r="Z45" s="18"/>
      <c r="AA45" s="18"/>
      <c r="AB45" s="18"/>
      <c r="AC45" s="18"/>
      <c r="AD45" s="18"/>
      <c r="AE45" s="18"/>
      <c r="AF45" s="18">
        <v>1</v>
      </c>
      <c r="AG45" s="16">
        <v>10</v>
      </c>
      <c r="AH45" s="16"/>
      <c r="AI45" s="18">
        <v>1</v>
      </c>
      <c r="AJ45" s="16">
        <v>10</v>
      </c>
      <c r="AK45" s="16"/>
      <c r="AL45" s="16">
        <v>1</v>
      </c>
      <c r="AM45" s="16">
        <v>1</v>
      </c>
      <c r="AN45" s="16">
        <v>1</v>
      </c>
      <c r="AO45" s="16">
        <v>0</v>
      </c>
      <c r="AP45" s="16">
        <v>0</v>
      </c>
      <c r="AQ45" s="16">
        <v>0</v>
      </c>
      <c r="AR45" s="16"/>
      <c r="AS45" s="16">
        <v>0</v>
      </c>
      <c r="AT45" s="16">
        <v>0</v>
      </c>
      <c r="AU45" s="16">
        <v>0</v>
      </c>
      <c r="AV45" s="16"/>
      <c r="AW45" s="16">
        <v>0</v>
      </c>
      <c r="AX45" s="16">
        <v>0</v>
      </c>
      <c r="AY45" s="16" t="s">
        <v>37</v>
      </c>
    </row>
    <row r="46" spans="1:51">
      <c r="A46" t="s">
        <v>270</v>
      </c>
      <c r="C46" s="11" t="s">
        <v>105</v>
      </c>
      <c r="D46" s="12">
        <v>57</v>
      </c>
      <c r="E46" s="12">
        <v>4.3</v>
      </c>
      <c r="F46" s="12"/>
      <c r="G46" s="12"/>
      <c r="H46" s="19">
        <v>43173</v>
      </c>
      <c r="I46" s="12">
        <f t="shared" si="0"/>
        <v>0.11944444444444444</v>
      </c>
      <c r="J46" s="12"/>
      <c r="K46" s="12"/>
      <c r="L46" s="12">
        <v>1</v>
      </c>
      <c r="M46" s="12">
        <v>36</v>
      </c>
      <c r="N46" s="12">
        <v>4</v>
      </c>
      <c r="O46" s="12"/>
      <c r="P46" s="14">
        <v>0</v>
      </c>
      <c r="Q46" s="14"/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/>
      <c r="X46" s="14">
        <v>12</v>
      </c>
      <c r="Y46" s="14"/>
      <c r="Z46" s="14"/>
      <c r="AA46" s="14"/>
      <c r="AB46" s="14"/>
      <c r="AC46" s="14"/>
      <c r="AD46" s="14"/>
      <c r="AE46" s="14"/>
      <c r="AF46" s="14">
        <v>3</v>
      </c>
      <c r="AG46" s="12">
        <v>20</v>
      </c>
      <c r="AH46" s="12" t="s">
        <v>73</v>
      </c>
      <c r="AI46" s="14">
        <v>0</v>
      </c>
      <c r="AJ46" s="12"/>
      <c r="AK46" s="12"/>
      <c r="AL46" s="12">
        <v>3</v>
      </c>
      <c r="AM46" s="12">
        <v>3</v>
      </c>
      <c r="AN46" s="12">
        <v>3</v>
      </c>
      <c r="AO46" s="12">
        <v>0</v>
      </c>
      <c r="AP46" s="12">
        <v>0</v>
      </c>
      <c r="AQ46" s="12">
        <v>0</v>
      </c>
      <c r="AR46" s="12"/>
      <c r="AS46" s="12">
        <v>0</v>
      </c>
      <c r="AT46" s="12">
        <v>0</v>
      </c>
      <c r="AU46" s="12">
        <v>0</v>
      </c>
      <c r="AV46" s="12"/>
      <c r="AW46" s="12">
        <v>0</v>
      </c>
      <c r="AX46" s="12">
        <v>0</v>
      </c>
      <c r="AY46" s="12" t="s">
        <v>37</v>
      </c>
    </row>
    <row r="47" spans="1:51">
      <c r="A47" t="s">
        <v>270</v>
      </c>
      <c r="C47" s="15" t="s">
        <v>106</v>
      </c>
      <c r="D47" s="16">
        <v>59</v>
      </c>
      <c r="E47" s="16">
        <v>13.9</v>
      </c>
      <c r="F47" s="16"/>
      <c r="G47" s="16"/>
      <c r="H47" s="17">
        <v>43481</v>
      </c>
      <c r="I47" s="12">
        <f t="shared" si="0"/>
        <v>0.69500000000000006</v>
      </c>
      <c r="J47" s="16"/>
      <c r="K47" s="16"/>
      <c r="L47" s="16">
        <v>1</v>
      </c>
      <c r="M47" s="16">
        <v>20</v>
      </c>
      <c r="N47" s="16">
        <v>5</v>
      </c>
      <c r="O47" s="16"/>
      <c r="P47" s="18">
        <v>0</v>
      </c>
      <c r="Q47" s="18"/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/>
      <c r="X47" s="18">
        <v>14</v>
      </c>
      <c r="Y47" s="18"/>
      <c r="Z47" s="18"/>
      <c r="AA47" s="18"/>
      <c r="AB47" s="18"/>
      <c r="AC47" s="18"/>
      <c r="AD47" s="18"/>
      <c r="AE47" s="18"/>
      <c r="AF47" s="18">
        <v>0</v>
      </c>
      <c r="AG47" s="16"/>
      <c r="AH47" s="16"/>
      <c r="AI47" s="18">
        <v>3</v>
      </c>
      <c r="AJ47" s="16">
        <v>90</v>
      </c>
      <c r="AK47" s="16" t="s">
        <v>107</v>
      </c>
      <c r="AL47" s="16">
        <v>2</v>
      </c>
      <c r="AM47" s="16">
        <v>2</v>
      </c>
      <c r="AN47" s="16">
        <v>2</v>
      </c>
      <c r="AO47" s="16">
        <v>0</v>
      </c>
      <c r="AP47" s="16">
        <v>0</v>
      </c>
      <c r="AQ47" s="16">
        <v>1</v>
      </c>
      <c r="AR47" s="16"/>
      <c r="AS47" s="16">
        <v>1</v>
      </c>
      <c r="AT47" s="16">
        <v>1</v>
      </c>
      <c r="AU47" s="16">
        <v>1</v>
      </c>
      <c r="AV47" s="16"/>
      <c r="AW47" s="16">
        <v>1</v>
      </c>
      <c r="AX47" s="16">
        <v>1</v>
      </c>
      <c r="AY47" s="16" t="s">
        <v>50</v>
      </c>
    </row>
    <row r="48" spans="1:51">
      <c r="A48" t="s">
        <v>270</v>
      </c>
      <c r="C48" s="11" t="s">
        <v>108</v>
      </c>
      <c r="D48" s="12">
        <v>61</v>
      </c>
      <c r="E48" s="12">
        <v>3.9</v>
      </c>
      <c r="F48" s="12"/>
      <c r="G48" s="12"/>
      <c r="H48" s="19">
        <v>42473</v>
      </c>
      <c r="I48" s="12">
        <f t="shared" si="0"/>
        <v>7.3584905660377356E-2</v>
      </c>
      <c r="J48" s="12"/>
      <c r="K48" s="12"/>
      <c r="L48" s="12">
        <v>1</v>
      </c>
      <c r="M48" s="12">
        <v>53</v>
      </c>
      <c r="N48" s="12">
        <v>4</v>
      </c>
      <c r="O48" s="12"/>
      <c r="P48" s="14">
        <v>0</v>
      </c>
      <c r="Q48" s="14"/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/>
      <c r="X48" s="14">
        <v>9</v>
      </c>
      <c r="Y48" s="14"/>
      <c r="Z48" s="14"/>
      <c r="AA48" s="14"/>
      <c r="AB48" s="14"/>
      <c r="AC48" s="14"/>
      <c r="AD48" s="14"/>
      <c r="AE48" s="14"/>
      <c r="AF48" s="14">
        <v>1</v>
      </c>
      <c r="AG48" s="12">
        <v>100</v>
      </c>
      <c r="AH48" s="12" t="s">
        <v>42</v>
      </c>
      <c r="AI48" s="14">
        <v>0</v>
      </c>
      <c r="AJ48" s="12"/>
      <c r="AK48" s="12"/>
      <c r="AL48" s="12">
        <v>1</v>
      </c>
      <c r="AM48" s="12">
        <v>1</v>
      </c>
      <c r="AN48" s="12">
        <v>1</v>
      </c>
      <c r="AO48" s="12">
        <v>1</v>
      </c>
      <c r="AP48" s="12">
        <v>0</v>
      </c>
      <c r="AQ48" s="12">
        <v>1</v>
      </c>
      <c r="AR48" s="12"/>
      <c r="AS48" s="12">
        <v>1</v>
      </c>
      <c r="AT48" s="12">
        <v>1</v>
      </c>
      <c r="AU48" s="12">
        <v>0</v>
      </c>
      <c r="AV48" s="12"/>
      <c r="AW48" s="12">
        <v>0</v>
      </c>
      <c r="AX48" s="12">
        <v>0</v>
      </c>
      <c r="AY48" s="12" t="s">
        <v>58</v>
      </c>
    </row>
    <row r="49" spans="1:51">
      <c r="A49" t="s">
        <v>270</v>
      </c>
      <c r="C49" s="15" t="s">
        <v>109</v>
      </c>
      <c r="D49" s="16">
        <v>67</v>
      </c>
      <c r="E49" s="16">
        <v>19.3</v>
      </c>
      <c r="F49" s="16"/>
      <c r="G49" s="16"/>
      <c r="H49" s="17">
        <v>43311</v>
      </c>
      <c r="I49" s="12">
        <f t="shared" si="0"/>
        <v>0.4707317073170732</v>
      </c>
      <c r="J49" s="16"/>
      <c r="K49" s="16"/>
      <c r="L49" s="16">
        <v>1</v>
      </c>
      <c r="M49" s="16">
        <v>41</v>
      </c>
      <c r="N49" s="16">
        <v>5</v>
      </c>
      <c r="O49" s="16"/>
      <c r="P49" s="18">
        <v>0</v>
      </c>
      <c r="Q49" s="18"/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/>
      <c r="X49" s="18">
        <v>18</v>
      </c>
      <c r="Y49" s="18"/>
      <c r="Z49" s="18"/>
      <c r="AA49" s="18"/>
      <c r="AB49" s="18"/>
      <c r="AC49" s="18"/>
      <c r="AD49" s="18"/>
      <c r="AE49" s="18"/>
      <c r="AF49" s="18">
        <v>2</v>
      </c>
      <c r="AG49" s="16"/>
      <c r="AH49" s="16"/>
      <c r="AI49" s="18">
        <v>0</v>
      </c>
      <c r="AJ49" s="16"/>
      <c r="AK49" s="16"/>
      <c r="AL49" s="16">
        <v>4</v>
      </c>
      <c r="AM49" s="16">
        <v>4</v>
      </c>
      <c r="AN49" s="16">
        <v>4</v>
      </c>
      <c r="AO49" s="16">
        <v>0</v>
      </c>
      <c r="AP49" s="16">
        <v>0</v>
      </c>
      <c r="AQ49" s="16">
        <v>0</v>
      </c>
      <c r="AR49" s="16"/>
      <c r="AS49" s="16">
        <v>0</v>
      </c>
      <c r="AT49" s="16">
        <v>0</v>
      </c>
      <c r="AU49" s="16">
        <v>0</v>
      </c>
      <c r="AV49" s="16"/>
      <c r="AW49" s="16">
        <v>0</v>
      </c>
      <c r="AX49" s="16">
        <v>0</v>
      </c>
      <c r="AY49" s="16" t="s">
        <v>37</v>
      </c>
    </row>
    <row r="50" spans="1:51">
      <c r="A50" t="s">
        <v>270</v>
      </c>
      <c r="C50" s="11" t="s">
        <v>68</v>
      </c>
      <c r="D50" s="12">
        <v>70</v>
      </c>
      <c r="E50" s="12">
        <v>4.4000000000000004</v>
      </c>
      <c r="F50" s="12"/>
      <c r="G50" s="12"/>
      <c r="H50" s="19">
        <v>43116</v>
      </c>
      <c r="I50" s="12">
        <f t="shared" si="0"/>
        <v>7.4576271186440682E-2</v>
      </c>
      <c r="J50" s="12"/>
      <c r="K50" s="12"/>
      <c r="L50" s="12">
        <v>0</v>
      </c>
      <c r="M50" s="12">
        <v>59</v>
      </c>
      <c r="N50" s="12">
        <v>5</v>
      </c>
      <c r="O50" s="12"/>
      <c r="P50" s="14">
        <v>1</v>
      </c>
      <c r="Q50" s="14"/>
      <c r="R50" s="14">
        <v>1</v>
      </c>
      <c r="S50" s="14">
        <v>1</v>
      </c>
      <c r="T50" s="14">
        <v>1</v>
      </c>
      <c r="U50" s="14">
        <v>1</v>
      </c>
      <c r="V50" s="14">
        <v>1</v>
      </c>
      <c r="W50" s="14"/>
      <c r="X50" s="14">
        <v>31</v>
      </c>
      <c r="Y50" s="14"/>
      <c r="Z50" s="14"/>
      <c r="AA50" s="14"/>
      <c r="AB50" s="14"/>
      <c r="AC50" s="14"/>
      <c r="AD50" s="14"/>
      <c r="AE50" s="14"/>
      <c r="AF50" s="14">
        <v>1</v>
      </c>
      <c r="AG50" s="12">
        <v>30</v>
      </c>
      <c r="AH50" s="12" t="s">
        <v>36</v>
      </c>
      <c r="AI50" s="14">
        <v>0</v>
      </c>
      <c r="AJ50" s="12"/>
      <c r="AK50" s="12"/>
      <c r="AL50" s="12">
        <v>4</v>
      </c>
      <c r="AM50" s="12">
        <v>4</v>
      </c>
      <c r="AN50" s="12">
        <v>4</v>
      </c>
      <c r="AO50" s="12">
        <v>0</v>
      </c>
      <c r="AP50" s="12">
        <v>1</v>
      </c>
      <c r="AQ50" s="12">
        <v>1</v>
      </c>
      <c r="AR50" s="12"/>
      <c r="AS50" s="12">
        <v>1</v>
      </c>
      <c r="AT50" s="12">
        <v>1</v>
      </c>
      <c r="AU50" s="12">
        <v>0</v>
      </c>
      <c r="AV50" s="12"/>
      <c r="AW50" s="12">
        <v>0</v>
      </c>
      <c r="AX50" s="12">
        <v>0</v>
      </c>
      <c r="AY50" s="12" t="s">
        <v>110</v>
      </c>
    </row>
    <row r="51" spans="1:51">
      <c r="A51" t="s">
        <v>270</v>
      </c>
      <c r="C51" s="15" t="s">
        <v>111</v>
      </c>
      <c r="D51" s="16">
        <v>51</v>
      </c>
      <c r="E51" s="16">
        <v>2.1</v>
      </c>
      <c r="F51" s="16"/>
      <c r="G51" s="16"/>
      <c r="H51" s="17">
        <v>42486</v>
      </c>
      <c r="I51" s="12">
        <f t="shared" si="0"/>
        <v>6.7741935483870974E-2</v>
      </c>
      <c r="J51" s="16"/>
      <c r="K51" s="16"/>
      <c r="L51" s="16">
        <v>1</v>
      </c>
      <c r="M51" s="16">
        <v>31</v>
      </c>
      <c r="N51" s="16">
        <v>5</v>
      </c>
      <c r="O51" s="16"/>
      <c r="P51" s="18">
        <v>0</v>
      </c>
      <c r="Q51" s="18"/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/>
      <c r="X51" s="18">
        <v>10</v>
      </c>
      <c r="Y51" s="18"/>
      <c r="Z51" s="18"/>
      <c r="AA51" s="18"/>
      <c r="AB51" s="18"/>
      <c r="AC51" s="18"/>
      <c r="AD51" s="18"/>
      <c r="AE51" s="18"/>
      <c r="AF51" s="18">
        <v>3</v>
      </c>
      <c r="AG51" s="16"/>
      <c r="AH51" s="16"/>
      <c r="AI51" s="18">
        <v>3</v>
      </c>
      <c r="AJ51" s="16"/>
      <c r="AK51" s="16"/>
      <c r="AL51" s="16">
        <v>2</v>
      </c>
      <c r="AM51" s="16">
        <v>2</v>
      </c>
      <c r="AN51" s="16">
        <v>2</v>
      </c>
      <c r="AO51" s="16">
        <v>0</v>
      </c>
      <c r="AP51" s="16">
        <v>0</v>
      </c>
      <c r="AQ51" s="16">
        <v>0</v>
      </c>
      <c r="AR51" s="16"/>
      <c r="AS51" s="16">
        <v>0</v>
      </c>
      <c r="AT51" s="16">
        <v>0</v>
      </c>
      <c r="AU51" s="16">
        <v>0</v>
      </c>
      <c r="AV51" s="16"/>
      <c r="AW51" s="16">
        <v>0</v>
      </c>
      <c r="AX51" s="16">
        <v>0</v>
      </c>
      <c r="AY51" s="16" t="s">
        <v>37</v>
      </c>
    </row>
    <row r="52" spans="1:51">
      <c r="A52" t="s">
        <v>270</v>
      </c>
      <c r="C52" s="11" t="s">
        <v>112</v>
      </c>
      <c r="D52" s="12">
        <v>79</v>
      </c>
      <c r="E52" s="12">
        <v>4.2</v>
      </c>
      <c r="F52" s="12"/>
      <c r="G52" s="12"/>
      <c r="H52" s="19">
        <v>43005</v>
      </c>
      <c r="I52" s="12">
        <f t="shared" si="0"/>
        <v>5.1851851851851857E-2</v>
      </c>
      <c r="J52" s="12"/>
      <c r="K52" s="12"/>
      <c r="L52" s="12">
        <v>1</v>
      </c>
      <c r="M52" s="12">
        <v>81</v>
      </c>
      <c r="N52" s="12">
        <v>5</v>
      </c>
      <c r="O52" s="12"/>
      <c r="P52" s="14">
        <v>1</v>
      </c>
      <c r="Q52" s="14"/>
      <c r="R52" s="14">
        <v>0</v>
      </c>
      <c r="S52" s="14">
        <v>1</v>
      </c>
      <c r="T52" s="14">
        <v>0</v>
      </c>
      <c r="U52" s="14">
        <v>0</v>
      </c>
      <c r="V52" s="14">
        <v>0</v>
      </c>
      <c r="W52" s="14"/>
      <c r="X52" s="14">
        <v>15</v>
      </c>
      <c r="Y52" s="14"/>
      <c r="Z52" s="14"/>
      <c r="AA52" s="14"/>
      <c r="AB52" s="14"/>
      <c r="AC52" s="14"/>
      <c r="AD52" s="14"/>
      <c r="AE52" s="14"/>
      <c r="AF52" s="14">
        <v>1</v>
      </c>
      <c r="AG52" s="12"/>
      <c r="AH52" s="12"/>
      <c r="AI52" s="14">
        <v>0</v>
      </c>
      <c r="AJ52" s="12"/>
      <c r="AK52" s="12"/>
      <c r="AL52" s="12">
        <v>1</v>
      </c>
      <c r="AM52" s="12">
        <v>1</v>
      </c>
      <c r="AN52" s="12">
        <v>0</v>
      </c>
      <c r="AO52" s="12">
        <v>0</v>
      </c>
      <c r="AP52" s="12">
        <v>0</v>
      </c>
      <c r="AQ52" s="12">
        <v>0</v>
      </c>
      <c r="AR52" s="12"/>
      <c r="AS52" s="12">
        <v>0</v>
      </c>
      <c r="AT52" s="12">
        <v>0</v>
      </c>
      <c r="AU52" s="12">
        <v>0</v>
      </c>
      <c r="AV52" s="12"/>
      <c r="AW52" s="12">
        <v>0</v>
      </c>
      <c r="AX52" s="12">
        <v>0</v>
      </c>
      <c r="AY52" s="12" t="s">
        <v>113</v>
      </c>
    </row>
    <row r="53" spans="1:51">
      <c r="A53" t="s">
        <v>270</v>
      </c>
      <c r="C53" s="15" t="s">
        <v>114</v>
      </c>
      <c r="D53" s="16">
        <v>53</v>
      </c>
      <c r="E53" s="16">
        <v>5.9</v>
      </c>
      <c r="F53" s="16"/>
      <c r="G53" s="16"/>
      <c r="H53" s="17">
        <v>43011</v>
      </c>
      <c r="I53" s="12">
        <f t="shared" si="0"/>
        <v>0.14047619047619048</v>
      </c>
      <c r="J53" s="16"/>
      <c r="K53" s="16"/>
      <c r="L53" s="16">
        <v>1</v>
      </c>
      <c r="M53" s="16">
        <v>42</v>
      </c>
      <c r="N53" s="16">
        <v>4</v>
      </c>
      <c r="O53" s="16"/>
      <c r="P53" s="18">
        <v>0</v>
      </c>
      <c r="Q53" s="18"/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/>
      <c r="X53" s="18">
        <v>11</v>
      </c>
      <c r="Y53" s="18"/>
      <c r="Z53" s="18"/>
      <c r="AA53" s="18"/>
      <c r="AB53" s="18"/>
      <c r="AC53" s="18"/>
      <c r="AD53" s="18"/>
      <c r="AE53" s="18"/>
      <c r="AF53" s="18">
        <v>3</v>
      </c>
      <c r="AG53" s="16">
        <v>10</v>
      </c>
      <c r="AH53" s="16" t="s">
        <v>54</v>
      </c>
      <c r="AI53" s="18">
        <v>0</v>
      </c>
      <c r="AJ53" s="16"/>
      <c r="AK53" s="16"/>
      <c r="AL53" s="16">
        <v>2</v>
      </c>
      <c r="AM53" s="16">
        <v>2</v>
      </c>
      <c r="AN53" s="16">
        <v>2</v>
      </c>
      <c r="AO53" s="16">
        <v>0</v>
      </c>
      <c r="AP53" s="16">
        <v>0</v>
      </c>
      <c r="AQ53" s="16">
        <v>0</v>
      </c>
      <c r="AR53" s="16"/>
      <c r="AS53" s="16">
        <v>0</v>
      </c>
      <c r="AT53" s="16">
        <v>0</v>
      </c>
      <c r="AU53" s="16">
        <v>0</v>
      </c>
      <c r="AV53" s="16"/>
      <c r="AW53" s="16">
        <v>0</v>
      </c>
      <c r="AX53" s="16">
        <v>0</v>
      </c>
      <c r="AY53" s="16" t="s">
        <v>37</v>
      </c>
    </row>
    <row r="54" spans="1:51">
      <c r="A54" t="s">
        <v>270</v>
      </c>
      <c r="C54" s="11" t="s">
        <v>115</v>
      </c>
      <c r="D54" s="12">
        <v>73</v>
      </c>
      <c r="E54" s="12">
        <v>97</v>
      </c>
      <c r="F54" s="12"/>
      <c r="G54" s="12"/>
      <c r="H54" s="19">
        <v>42849</v>
      </c>
      <c r="I54" s="12">
        <f t="shared" si="0"/>
        <v>2.6944444444444446</v>
      </c>
      <c r="J54" s="12"/>
      <c r="K54" s="12"/>
      <c r="L54" s="12">
        <v>1</v>
      </c>
      <c r="M54" s="12">
        <v>36</v>
      </c>
      <c r="N54" s="12">
        <v>5</v>
      </c>
      <c r="O54" s="12"/>
      <c r="P54" s="14">
        <v>1</v>
      </c>
      <c r="Q54" s="14"/>
      <c r="R54" s="14">
        <v>1</v>
      </c>
      <c r="S54" s="14">
        <v>1</v>
      </c>
      <c r="T54" s="14">
        <v>1</v>
      </c>
      <c r="U54" s="14">
        <v>1</v>
      </c>
      <c r="V54" s="14">
        <v>1</v>
      </c>
      <c r="W54" s="14"/>
      <c r="X54" s="14">
        <v>33</v>
      </c>
      <c r="Y54" s="14"/>
      <c r="Z54" s="14"/>
      <c r="AA54" s="14"/>
      <c r="AB54" s="14"/>
      <c r="AC54" s="14"/>
      <c r="AD54" s="14"/>
      <c r="AE54" s="14"/>
      <c r="AF54" s="14">
        <v>4</v>
      </c>
      <c r="AG54" s="12"/>
      <c r="AH54" s="12"/>
      <c r="AI54" s="14">
        <v>4</v>
      </c>
      <c r="AJ54" s="12"/>
      <c r="AK54" s="12"/>
      <c r="AL54" s="12">
        <v>4</v>
      </c>
      <c r="AM54" s="12">
        <v>4</v>
      </c>
      <c r="AN54" s="12">
        <v>4</v>
      </c>
      <c r="AO54" s="12">
        <v>1</v>
      </c>
      <c r="AP54" s="12">
        <v>1</v>
      </c>
      <c r="AQ54" s="12">
        <v>1</v>
      </c>
      <c r="AR54" s="12"/>
      <c r="AS54" s="12">
        <v>1</v>
      </c>
      <c r="AT54" s="12">
        <v>1</v>
      </c>
      <c r="AU54" s="12">
        <v>1</v>
      </c>
      <c r="AV54" s="12"/>
      <c r="AW54" s="12">
        <v>1</v>
      </c>
      <c r="AX54" s="12">
        <v>1</v>
      </c>
      <c r="AY54" s="12" t="s">
        <v>50</v>
      </c>
    </row>
    <row r="55" spans="1:51">
      <c r="A55" t="s">
        <v>270</v>
      </c>
      <c r="C55" s="15" t="s">
        <v>116</v>
      </c>
      <c r="D55" s="16">
        <v>67</v>
      </c>
      <c r="E55" s="16">
        <v>7.8</v>
      </c>
      <c r="F55" s="16"/>
      <c r="G55" s="16"/>
      <c r="H55" s="17">
        <v>43236</v>
      </c>
      <c r="I55" s="12">
        <f t="shared" si="0"/>
        <v>0.1054054054054054</v>
      </c>
      <c r="J55" s="16"/>
      <c r="K55" s="16"/>
      <c r="L55" s="16">
        <v>0</v>
      </c>
      <c r="M55" s="16">
        <v>74</v>
      </c>
      <c r="N55" s="16">
        <v>4</v>
      </c>
      <c r="O55" s="16"/>
      <c r="P55" s="18">
        <v>0</v>
      </c>
      <c r="Q55" s="18"/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/>
      <c r="X55" s="18">
        <v>9</v>
      </c>
      <c r="Y55" s="18"/>
      <c r="Z55" s="18"/>
      <c r="AA55" s="18"/>
      <c r="AB55" s="18"/>
      <c r="AC55" s="18"/>
      <c r="AD55" s="18"/>
      <c r="AE55" s="18"/>
      <c r="AF55" s="18">
        <v>1</v>
      </c>
      <c r="AG55" s="16"/>
      <c r="AH55" s="16"/>
      <c r="AI55" s="18">
        <v>0</v>
      </c>
      <c r="AJ55" s="16"/>
      <c r="AK55" s="16"/>
      <c r="AL55" s="16">
        <v>1</v>
      </c>
      <c r="AM55" s="16">
        <v>1</v>
      </c>
      <c r="AN55" s="16">
        <v>0</v>
      </c>
      <c r="AO55" s="16">
        <v>0</v>
      </c>
      <c r="AP55" s="16">
        <v>0</v>
      </c>
      <c r="AQ55" s="16">
        <v>0</v>
      </c>
      <c r="AR55" s="16"/>
      <c r="AS55" s="16">
        <v>0</v>
      </c>
      <c r="AT55" s="16">
        <v>0</v>
      </c>
      <c r="AU55" s="16">
        <v>0</v>
      </c>
      <c r="AV55" s="16"/>
      <c r="AW55" s="16">
        <v>0</v>
      </c>
      <c r="AX55" s="16">
        <v>0</v>
      </c>
      <c r="AY55" s="16" t="s">
        <v>113</v>
      </c>
    </row>
    <row r="56" spans="1:51">
      <c r="A56" t="s">
        <v>270</v>
      </c>
      <c r="C56" s="11" t="s">
        <v>117</v>
      </c>
      <c r="D56" s="12">
        <v>59</v>
      </c>
      <c r="E56" s="12">
        <v>7</v>
      </c>
      <c r="F56" s="12"/>
      <c r="G56" s="12"/>
      <c r="H56" s="19">
        <v>43410</v>
      </c>
      <c r="I56" s="12">
        <f t="shared" si="0"/>
        <v>0.22580645161290322</v>
      </c>
      <c r="J56" s="12"/>
      <c r="K56" s="12"/>
      <c r="L56" s="12">
        <v>0</v>
      </c>
      <c r="M56" s="12">
        <v>31</v>
      </c>
      <c r="N56" s="12">
        <v>3</v>
      </c>
      <c r="O56" s="12"/>
      <c r="P56" s="14">
        <v>0</v>
      </c>
      <c r="Q56" s="14"/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/>
      <c r="X56" s="12"/>
      <c r="Y56" s="12"/>
      <c r="Z56" s="12"/>
      <c r="AA56" s="12"/>
      <c r="AB56" s="12"/>
      <c r="AC56" s="12"/>
      <c r="AD56" s="12"/>
      <c r="AE56" s="12"/>
      <c r="AF56" s="14">
        <v>1</v>
      </c>
      <c r="AG56" s="12"/>
      <c r="AH56" s="12"/>
      <c r="AI56" s="14">
        <v>1</v>
      </c>
      <c r="AJ56" s="12"/>
      <c r="AK56" s="12"/>
      <c r="AL56" s="12">
        <v>1</v>
      </c>
      <c r="AM56" s="12">
        <v>1</v>
      </c>
      <c r="AN56" s="12">
        <v>1</v>
      </c>
      <c r="AO56" s="12">
        <v>1</v>
      </c>
      <c r="AP56" s="12">
        <v>0</v>
      </c>
      <c r="AQ56" s="12">
        <v>0</v>
      </c>
      <c r="AR56" s="12"/>
      <c r="AS56" s="12">
        <v>0</v>
      </c>
      <c r="AT56" s="12">
        <v>0</v>
      </c>
      <c r="AU56" s="12">
        <v>0</v>
      </c>
      <c r="AV56" s="12"/>
      <c r="AW56" s="12">
        <v>0</v>
      </c>
      <c r="AX56" s="12">
        <v>0</v>
      </c>
      <c r="AY56" s="12" t="s">
        <v>37</v>
      </c>
    </row>
    <row r="57" spans="1:51">
      <c r="A57" t="s">
        <v>270</v>
      </c>
      <c r="C57" s="15" t="s">
        <v>118</v>
      </c>
      <c r="D57" s="16">
        <v>60</v>
      </c>
      <c r="E57" s="16">
        <v>8</v>
      </c>
      <c r="F57" s="16"/>
      <c r="G57" s="16"/>
      <c r="H57" s="17">
        <v>42642</v>
      </c>
      <c r="I57" s="12">
        <f t="shared" si="0"/>
        <v>0.42105263157894735</v>
      </c>
      <c r="J57" s="16"/>
      <c r="K57" s="16"/>
      <c r="L57" s="16">
        <v>1</v>
      </c>
      <c r="M57" s="16">
        <v>19</v>
      </c>
      <c r="N57" s="16">
        <v>4</v>
      </c>
      <c r="O57" s="16"/>
      <c r="P57" s="18">
        <v>0</v>
      </c>
      <c r="Q57" s="18"/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/>
      <c r="X57" s="18">
        <v>11</v>
      </c>
      <c r="Y57" s="18"/>
      <c r="Z57" s="18"/>
      <c r="AA57" s="18"/>
      <c r="AB57" s="18"/>
      <c r="AC57" s="18"/>
      <c r="AD57" s="18"/>
      <c r="AE57" s="18"/>
      <c r="AF57" s="16">
        <v>0</v>
      </c>
      <c r="AG57" s="16"/>
      <c r="AH57" s="16"/>
      <c r="AI57" s="16">
        <v>2</v>
      </c>
      <c r="AJ57" s="16">
        <v>65</v>
      </c>
      <c r="AK57" s="16" t="s">
        <v>119</v>
      </c>
      <c r="AL57" s="16">
        <v>2</v>
      </c>
      <c r="AM57" s="16">
        <v>2</v>
      </c>
      <c r="AN57" s="16">
        <v>2</v>
      </c>
      <c r="AO57" s="16">
        <v>1</v>
      </c>
      <c r="AP57" s="16">
        <v>0</v>
      </c>
      <c r="AQ57" s="16">
        <v>1</v>
      </c>
      <c r="AR57" s="16"/>
      <c r="AS57" s="16">
        <v>0</v>
      </c>
      <c r="AT57" s="16">
        <v>1</v>
      </c>
      <c r="AU57" s="16">
        <v>0</v>
      </c>
      <c r="AV57" s="16"/>
      <c r="AW57" s="16">
        <v>0</v>
      </c>
      <c r="AX57" s="16">
        <v>0</v>
      </c>
      <c r="AY57" s="16" t="s">
        <v>58</v>
      </c>
    </row>
    <row r="58" spans="1:51">
      <c r="A58" t="s">
        <v>270</v>
      </c>
      <c r="C58" s="11" t="s">
        <v>120</v>
      </c>
      <c r="D58" s="12">
        <v>62</v>
      </c>
      <c r="E58" s="12">
        <v>10.4</v>
      </c>
      <c r="F58" s="12"/>
      <c r="G58" s="12"/>
      <c r="H58" s="19">
        <v>42670</v>
      </c>
      <c r="I58" s="12">
        <f t="shared" si="0"/>
        <v>0.14647887323943662</v>
      </c>
      <c r="J58" s="12"/>
      <c r="K58" s="12"/>
      <c r="L58" s="12">
        <v>1</v>
      </c>
      <c r="M58" s="12">
        <v>71</v>
      </c>
      <c r="N58" s="12">
        <v>3</v>
      </c>
      <c r="O58" s="12"/>
      <c r="P58" s="14">
        <v>0</v>
      </c>
      <c r="Q58" s="14"/>
      <c r="R58" s="12">
        <v>0</v>
      </c>
      <c r="S58" s="14">
        <v>0</v>
      </c>
      <c r="T58" s="14">
        <v>0</v>
      </c>
      <c r="U58" s="14">
        <v>0</v>
      </c>
      <c r="V58" s="14">
        <v>0</v>
      </c>
      <c r="W58" s="14"/>
      <c r="X58" s="14">
        <v>11</v>
      </c>
      <c r="Y58" s="14"/>
      <c r="Z58" s="14"/>
      <c r="AA58" s="14"/>
      <c r="AB58" s="14"/>
      <c r="AC58" s="14"/>
      <c r="AD58" s="14"/>
      <c r="AE58" s="14"/>
      <c r="AF58" s="14">
        <v>1</v>
      </c>
      <c r="AG58" s="12">
        <v>10</v>
      </c>
      <c r="AH58" s="12"/>
      <c r="AI58" s="14">
        <v>1</v>
      </c>
      <c r="AJ58" s="12">
        <v>10</v>
      </c>
      <c r="AK58" s="12"/>
      <c r="AL58" s="12">
        <v>1</v>
      </c>
      <c r="AM58" s="12">
        <v>1</v>
      </c>
      <c r="AN58" s="12">
        <v>1</v>
      </c>
      <c r="AO58" s="12">
        <v>0</v>
      </c>
      <c r="AP58" s="12">
        <v>0</v>
      </c>
      <c r="AQ58" s="12">
        <v>0</v>
      </c>
      <c r="AR58" s="12"/>
      <c r="AS58" s="12">
        <v>0</v>
      </c>
      <c r="AT58" s="12">
        <v>0</v>
      </c>
      <c r="AU58" s="12">
        <v>0</v>
      </c>
      <c r="AV58" s="12"/>
      <c r="AW58" s="12">
        <v>0</v>
      </c>
      <c r="AX58" s="12">
        <v>0</v>
      </c>
      <c r="AY58" s="12" t="s">
        <v>37</v>
      </c>
    </row>
    <row r="59" spans="1:51">
      <c r="A59" t="s">
        <v>270</v>
      </c>
      <c r="C59" s="15" t="s">
        <v>121</v>
      </c>
      <c r="D59" s="16">
        <v>55</v>
      </c>
      <c r="E59" s="16">
        <v>8</v>
      </c>
      <c r="F59" s="16"/>
      <c r="G59" s="16"/>
      <c r="H59" s="17">
        <v>42921</v>
      </c>
      <c r="I59" s="12">
        <f t="shared" si="0"/>
        <v>0.27586206896551724</v>
      </c>
      <c r="J59" s="16"/>
      <c r="K59" s="16"/>
      <c r="L59" s="16">
        <v>1</v>
      </c>
      <c r="M59" s="16">
        <v>29</v>
      </c>
      <c r="N59" s="16">
        <v>4</v>
      </c>
      <c r="O59" s="16"/>
      <c r="P59" s="18">
        <v>0</v>
      </c>
      <c r="Q59" s="18"/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/>
      <c r="X59" s="18">
        <v>11</v>
      </c>
      <c r="Y59" s="18"/>
      <c r="Z59" s="18"/>
      <c r="AA59" s="18"/>
      <c r="AB59" s="18"/>
      <c r="AC59" s="18"/>
      <c r="AD59" s="18"/>
      <c r="AE59" s="18"/>
      <c r="AF59" s="18">
        <v>1</v>
      </c>
      <c r="AG59" s="16"/>
      <c r="AH59" s="16" t="s">
        <v>54</v>
      </c>
      <c r="AI59" s="18">
        <v>1</v>
      </c>
      <c r="AJ59" s="16"/>
      <c r="AK59" s="16" t="s">
        <v>42</v>
      </c>
      <c r="AL59" s="16">
        <v>2</v>
      </c>
      <c r="AM59" s="16">
        <v>2</v>
      </c>
      <c r="AN59" s="16">
        <v>2</v>
      </c>
      <c r="AO59" s="16">
        <v>0</v>
      </c>
      <c r="AP59" s="16">
        <v>0</v>
      </c>
      <c r="AQ59" s="16">
        <v>0</v>
      </c>
      <c r="AR59" s="16"/>
      <c r="AS59" s="16">
        <v>0</v>
      </c>
      <c r="AT59" s="16">
        <v>0</v>
      </c>
      <c r="AU59" s="16">
        <v>0</v>
      </c>
      <c r="AV59" s="16"/>
      <c r="AW59" s="16">
        <v>0</v>
      </c>
      <c r="AX59" s="16">
        <v>0</v>
      </c>
      <c r="AY59" s="16" t="s">
        <v>37</v>
      </c>
    </row>
    <row r="60" spans="1:51">
      <c r="A60" t="s">
        <v>270</v>
      </c>
      <c r="C60" s="11" t="s">
        <v>122</v>
      </c>
      <c r="D60" s="12">
        <v>64</v>
      </c>
      <c r="E60" s="12">
        <v>2.6</v>
      </c>
      <c r="F60" s="12"/>
      <c r="G60" s="12"/>
      <c r="H60" s="19">
        <v>44144</v>
      </c>
      <c r="I60" s="12">
        <f t="shared" si="0"/>
        <v>5.7777777777777782E-2</v>
      </c>
      <c r="J60" s="12"/>
      <c r="K60" s="12"/>
      <c r="L60" s="12">
        <v>1</v>
      </c>
      <c r="M60" s="12">
        <v>45</v>
      </c>
      <c r="N60" s="12">
        <v>5</v>
      </c>
      <c r="O60" s="12"/>
      <c r="P60" s="14">
        <v>0</v>
      </c>
      <c r="Q60" s="14"/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/>
      <c r="X60" s="14">
        <v>30</v>
      </c>
      <c r="Y60" s="14"/>
      <c r="Z60" s="14"/>
      <c r="AA60" s="14"/>
      <c r="AB60" s="14"/>
      <c r="AC60" s="14"/>
      <c r="AD60" s="14"/>
      <c r="AE60" s="14"/>
      <c r="AF60" s="14">
        <v>2</v>
      </c>
      <c r="AG60" s="12">
        <v>80</v>
      </c>
      <c r="AH60" s="12" t="s">
        <v>123</v>
      </c>
      <c r="AI60" s="14">
        <v>0</v>
      </c>
      <c r="AJ60" s="12"/>
      <c r="AK60" s="12"/>
      <c r="AL60" s="12">
        <v>3</v>
      </c>
      <c r="AM60" s="12">
        <v>3</v>
      </c>
      <c r="AN60" s="12">
        <v>3</v>
      </c>
      <c r="AO60" s="12">
        <v>0</v>
      </c>
      <c r="AP60" s="12">
        <v>0</v>
      </c>
      <c r="AQ60" s="12">
        <v>0</v>
      </c>
      <c r="AR60" s="12"/>
      <c r="AS60" s="12">
        <v>0</v>
      </c>
      <c r="AT60" s="12">
        <v>0</v>
      </c>
      <c r="AU60" s="12">
        <v>0</v>
      </c>
      <c r="AV60" s="12"/>
      <c r="AW60" s="12">
        <v>0</v>
      </c>
      <c r="AX60" s="12">
        <v>0</v>
      </c>
      <c r="AY60" s="12" t="s">
        <v>37</v>
      </c>
    </row>
    <row r="61" spans="1:51">
      <c r="A61" t="s">
        <v>270</v>
      </c>
      <c r="C61" s="15" t="s">
        <v>124</v>
      </c>
      <c r="D61" s="16">
        <v>68</v>
      </c>
      <c r="E61" s="16"/>
      <c r="F61" s="16"/>
      <c r="G61" s="16"/>
      <c r="H61" s="17">
        <v>43398</v>
      </c>
      <c r="I61" s="12">
        <f t="shared" si="0"/>
        <v>0</v>
      </c>
      <c r="J61" s="16"/>
      <c r="K61" s="16"/>
      <c r="L61" s="16">
        <v>1</v>
      </c>
      <c r="M61" s="16">
        <v>60</v>
      </c>
      <c r="N61" s="16">
        <v>4</v>
      </c>
      <c r="O61" s="16"/>
      <c r="P61" s="18">
        <v>0</v>
      </c>
      <c r="Q61" s="18"/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/>
      <c r="X61" s="18">
        <v>7</v>
      </c>
      <c r="Y61" s="18"/>
      <c r="Z61" s="18"/>
      <c r="AA61" s="18"/>
      <c r="AB61" s="18"/>
      <c r="AC61" s="18"/>
      <c r="AD61" s="18"/>
      <c r="AE61" s="18"/>
      <c r="AF61" s="18">
        <v>4</v>
      </c>
      <c r="AG61" s="16">
        <v>40</v>
      </c>
      <c r="AH61" s="16"/>
      <c r="AI61" s="18">
        <v>2</v>
      </c>
      <c r="AJ61" s="16">
        <v>5</v>
      </c>
      <c r="AK61" s="16"/>
      <c r="AL61" s="16">
        <v>3</v>
      </c>
      <c r="AM61" s="16">
        <v>2</v>
      </c>
      <c r="AN61" s="16">
        <v>3</v>
      </c>
      <c r="AO61" s="16">
        <v>0</v>
      </c>
      <c r="AP61" s="16">
        <v>0</v>
      </c>
      <c r="AQ61" s="16">
        <v>0</v>
      </c>
      <c r="AR61" s="16"/>
      <c r="AS61" s="16">
        <v>0</v>
      </c>
      <c r="AT61" s="16">
        <v>0</v>
      </c>
      <c r="AU61" s="16">
        <v>0</v>
      </c>
      <c r="AV61" s="16"/>
      <c r="AW61" s="16">
        <v>0</v>
      </c>
      <c r="AX61" s="16">
        <v>0</v>
      </c>
      <c r="AY61" s="16" t="s">
        <v>37</v>
      </c>
    </row>
    <row r="62" spans="1:51">
      <c r="A62" t="s">
        <v>270</v>
      </c>
      <c r="C62" s="11" t="s">
        <v>125</v>
      </c>
      <c r="D62" s="12">
        <v>61</v>
      </c>
      <c r="E62" s="12">
        <v>19.8</v>
      </c>
      <c r="F62" s="12"/>
      <c r="G62" s="12"/>
      <c r="H62" s="19">
        <v>42941</v>
      </c>
      <c r="I62" s="12">
        <f t="shared" si="0"/>
        <v>0.55000000000000004</v>
      </c>
      <c r="J62" s="12"/>
      <c r="K62" s="12"/>
      <c r="L62" s="12">
        <v>1</v>
      </c>
      <c r="M62" s="12">
        <v>36</v>
      </c>
      <c r="N62" s="12">
        <v>3</v>
      </c>
      <c r="O62" s="12"/>
      <c r="P62" s="14">
        <v>0</v>
      </c>
      <c r="Q62" s="14"/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/>
      <c r="X62" s="14">
        <v>10</v>
      </c>
      <c r="Y62" s="14"/>
      <c r="Z62" s="14"/>
      <c r="AA62" s="14"/>
      <c r="AB62" s="14"/>
      <c r="AC62" s="14"/>
      <c r="AD62" s="14"/>
      <c r="AE62" s="14"/>
      <c r="AF62" s="14">
        <v>1</v>
      </c>
      <c r="AG62" s="12">
        <v>10</v>
      </c>
      <c r="AH62" s="12" t="s">
        <v>81</v>
      </c>
      <c r="AI62" s="14">
        <v>1</v>
      </c>
      <c r="AJ62" s="12">
        <v>85</v>
      </c>
      <c r="AK62" s="12" t="s">
        <v>123</v>
      </c>
      <c r="AL62" s="12">
        <v>2</v>
      </c>
      <c r="AM62" s="12">
        <v>2</v>
      </c>
      <c r="AN62" s="12">
        <v>2</v>
      </c>
      <c r="AO62" s="12">
        <v>1</v>
      </c>
      <c r="AP62" s="12">
        <v>0</v>
      </c>
      <c r="AQ62" s="12">
        <v>1</v>
      </c>
      <c r="AR62" s="12"/>
      <c r="AS62" s="12"/>
      <c r="AT62" s="12"/>
      <c r="AU62" s="12">
        <v>0</v>
      </c>
      <c r="AV62" s="12"/>
      <c r="AW62" s="12">
        <v>0</v>
      </c>
      <c r="AX62" s="12">
        <v>0</v>
      </c>
      <c r="AY62" s="12" t="s">
        <v>58</v>
      </c>
    </row>
    <row r="63" spans="1:51">
      <c r="A63" t="s">
        <v>270</v>
      </c>
      <c r="C63" s="15" t="s">
        <v>126</v>
      </c>
      <c r="D63" s="16">
        <v>57</v>
      </c>
      <c r="E63" s="16">
        <v>134</v>
      </c>
      <c r="F63" s="16"/>
      <c r="G63" s="16"/>
      <c r="H63" s="17">
        <v>42537</v>
      </c>
      <c r="I63" s="12">
        <f t="shared" si="0"/>
        <v>4.9629629629629628</v>
      </c>
      <c r="J63" s="16"/>
      <c r="K63" s="16"/>
      <c r="L63" s="16">
        <v>1</v>
      </c>
      <c r="M63" s="16">
        <v>27</v>
      </c>
      <c r="N63" s="16">
        <v>5</v>
      </c>
      <c r="O63" s="16"/>
      <c r="P63" s="18">
        <v>0</v>
      </c>
      <c r="Q63" s="18"/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/>
      <c r="X63" s="18">
        <v>28</v>
      </c>
      <c r="Y63" s="18"/>
      <c r="Z63" s="18"/>
      <c r="AA63" s="18"/>
      <c r="AB63" s="18"/>
      <c r="AC63" s="18"/>
      <c r="AD63" s="18"/>
      <c r="AE63" s="18"/>
      <c r="AF63" s="18">
        <v>1</v>
      </c>
      <c r="AG63" s="16">
        <v>80</v>
      </c>
      <c r="AH63" s="16"/>
      <c r="AI63" s="18">
        <v>1</v>
      </c>
      <c r="AJ63" s="16"/>
      <c r="AK63" s="16"/>
      <c r="AL63" s="16">
        <v>5</v>
      </c>
      <c r="AM63" s="16">
        <v>5</v>
      </c>
      <c r="AN63" s="16">
        <v>5</v>
      </c>
      <c r="AO63" s="16">
        <v>1</v>
      </c>
      <c r="AP63" s="16">
        <v>0</v>
      </c>
      <c r="AQ63" s="16">
        <v>1</v>
      </c>
      <c r="AR63" s="16"/>
      <c r="AS63" s="16">
        <v>1</v>
      </c>
      <c r="AT63" s="16">
        <v>0</v>
      </c>
      <c r="AU63" s="16">
        <v>0</v>
      </c>
      <c r="AV63" s="16"/>
      <c r="AW63" s="16">
        <v>0</v>
      </c>
      <c r="AX63" s="16">
        <v>0</v>
      </c>
      <c r="AY63" s="16" t="s">
        <v>58</v>
      </c>
    </row>
    <row r="64" spans="1:51">
      <c r="A64" t="s">
        <v>270</v>
      </c>
      <c r="C64" s="11" t="s">
        <v>127</v>
      </c>
      <c r="D64" s="12">
        <v>67</v>
      </c>
      <c r="E64" s="12">
        <v>6</v>
      </c>
      <c r="F64" s="12"/>
      <c r="G64" s="12"/>
      <c r="H64" s="19">
        <v>42892</v>
      </c>
      <c r="I64" s="12">
        <f t="shared" si="0"/>
        <v>0.1276595744680851</v>
      </c>
      <c r="J64" s="12"/>
      <c r="K64" s="12"/>
      <c r="L64" s="12">
        <v>1</v>
      </c>
      <c r="M64" s="12">
        <v>47</v>
      </c>
      <c r="N64" s="12">
        <v>5</v>
      </c>
      <c r="O64" s="12"/>
      <c r="P64" s="14">
        <v>1</v>
      </c>
      <c r="Q64" s="14"/>
      <c r="R64" s="14">
        <v>1</v>
      </c>
      <c r="S64" s="14">
        <v>1</v>
      </c>
      <c r="T64" s="14">
        <v>1</v>
      </c>
      <c r="U64" s="14">
        <v>1</v>
      </c>
      <c r="V64" s="14">
        <v>0</v>
      </c>
      <c r="W64" s="14"/>
      <c r="X64" s="14">
        <v>42</v>
      </c>
      <c r="Y64" s="14"/>
      <c r="Z64" s="14"/>
      <c r="AA64" s="14"/>
      <c r="AB64" s="14"/>
      <c r="AC64" s="14"/>
      <c r="AD64" s="14"/>
      <c r="AE64" s="14"/>
      <c r="AF64" s="14">
        <v>5</v>
      </c>
      <c r="AG64" s="12">
        <v>30</v>
      </c>
      <c r="AH64" s="12"/>
      <c r="AI64" s="14">
        <v>5</v>
      </c>
      <c r="AJ64" s="12">
        <v>80</v>
      </c>
      <c r="AK64" s="12"/>
      <c r="AL64" s="12">
        <v>5</v>
      </c>
      <c r="AM64" s="12">
        <v>5</v>
      </c>
      <c r="AN64" s="12">
        <v>5</v>
      </c>
      <c r="AO64" s="12">
        <v>0</v>
      </c>
      <c r="AP64" s="12">
        <v>1</v>
      </c>
      <c r="AQ64" s="12">
        <v>1</v>
      </c>
      <c r="AR64" s="12"/>
      <c r="AS64" s="12">
        <v>1</v>
      </c>
      <c r="AT64" s="12">
        <v>1</v>
      </c>
      <c r="AU64" s="12">
        <v>1</v>
      </c>
      <c r="AV64" s="12"/>
      <c r="AW64" s="12">
        <v>1</v>
      </c>
      <c r="AX64" s="12">
        <v>1</v>
      </c>
      <c r="AY64" s="12" t="s">
        <v>50</v>
      </c>
    </row>
    <row r="65" spans="1:51">
      <c r="A65" t="s">
        <v>270</v>
      </c>
      <c r="C65" s="15" t="s">
        <v>128</v>
      </c>
      <c r="D65" s="16">
        <v>67</v>
      </c>
      <c r="E65" s="16">
        <v>7.1</v>
      </c>
      <c r="F65" s="16"/>
      <c r="G65" s="16"/>
      <c r="H65" s="17">
        <v>43347</v>
      </c>
      <c r="I65" s="12">
        <f t="shared" si="0"/>
        <v>0.12678571428571428</v>
      </c>
      <c r="J65" s="16"/>
      <c r="K65" s="16"/>
      <c r="L65" s="16">
        <v>1</v>
      </c>
      <c r="M65" s="16">
        <v>56</v>
      </c>
      <c r="N65" s="16">
        <v>3</v>
      </c>
      <c r="O65" s="16"/>
      <c r="P65" s="18">
        <v>0</v>
      </c>
      <c r="Q65" s="18"/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/>
      <c r="X65" s="16"/>
      <c r="Y65" s="16"/>
      <c r="Z65" s="16"/>
      <c r="AA65" s="16"/>
      <c r="AB65" s="16"/>
      <c r="AC65" s="16"/>
      <c r="AD65" s="16"/>
      <c r="AE65" s="16"/>
      <c r="AF65" s="18">
        <v>1</v>
      </c>
      <c r="AG65" s="16">
        <v>45</v>
      </c>
      <c r="AH65" s="16" t="s">
        <v>129</v>
      </c>
      <c r="AI65" s="18">
        <v>1</v>
      </c>
      <c r="AJ65" s="16">
        <v>40</v>
      </c>
      <c r="AK65" s="16" t="s">
        <v>130</v>
      </c>
      <c r="AL65" s="16">
        <v>2</v>
      </c>
      <c r="AM65" s="16">
        <v>2</v>
      </c>
      <c r="AN65" s="16">
        <v>2</v>
      </c>
      <c r="AO65" s="16">
        <v>0</v>
      </c>
      <c r="AP65" s="16">
        <v>0</v>
      </c>
      <c r="AQ65" s="16">
        <v>0</v>
      </c>
      <c r="AR65" s="16"/>
      <c r="AS65" s="16">
        <v>0</v>
      </c>
      <c r="AT65" s="16">
        <v>0</v>
      </c>
      <c r="AU65" s="16">
        <v>0</v>
      </c>
      <c r="AV65" s="16"/>
      <c r="AW65" s="16">
        <v>0</v>
      </c>
      <c r="AX65" s="16">
        <v>0</v>
      </c>
      <c r="AY65" s="16" t="s">
        <v>37</v>
      </c>
    </row>
    <row r="66" spans="1:51">
      <c r="A66" t="s">
        <v>270</v>
      </c>
      <c r="C66" s="11" t="s">
        <v>131</v>
      </c>
      <c r="D66" s="12">
        <v>64</v>
      </c>
      <c r="E66" s="12">
        <v>11.6</v>
      </c>
      <c r="F66" s="12"/>
      <c r="G66" s="12"/>
      <c r="H66" s="19">
        <v>42374</v>
      </c>
      <c r="I66" s="12">
        <f t="shared" si="0"/>
        <v>0.3411764705882353</v>
      </c>
      <c r="J66" s="12"/>
      <c r="K66" s="12"/>
      <c r="L66" s="12">
        <v>1</v>
      </c>
      <c r="M66" s="12">
        <v>34</v>
      </c>
      <c r="N66" s="12">
        <v>5</v>
      </c>
      <c r="O66" s="12"/>
      <c r="P66" s="14">
        <v>1</v>
      </c>
      <c r="Q66" s="14"/>
      <c r="R66" s="14">
        <v>1</v>
      </c>
      <c r="S66" s="14">
        <v>1</v>
      </c>
      <c r="T66" s="14">
        <v>0</v>
      </c>
      <c r="U66" s="14">
        <v>0</v>
      </c>
      <c r="V66" s="14">
        <v>0</v>
      </c>
      <c r="W66" s="14"/>
      <c r="X66" s="14">
        <v>19</v>
      </c>
      <c r="Y66" s="14"/>
      <c r="Z66" s="14"/>
      <c r="AA66" s="14"/>
      <c r="AB66" s="14"/>
      <c r="AC66" s="14"/>
      <c r="AD66" s="14"/>
      <c r="AE66" s="14"/>
      <c r="AF66" s="14">
        <v>1</v>
      </c>
      <c r="AG66" s="12">
        <v>80</v>
      </c>
      <c r="AH66" s="12"/>
      <c r="AI66" s="14">
        <v>0</v>
      </c>
      <c r="AJ66" s="12"/>
      <c r="AK66" s="12"/>
      <c r="AL66" s="12">
        <v>2</v>
      </c>
      <c r="AM66" s="12">
        <v>2</v>
      </c>
      <c r="AN66" s="12">
        <v>1</v>
      </c>
      <c r="AO66" s="12">
        <v>0</v>
      </c>
      <c r="AP66" s="12">
        <v>0</v>
      </c>
      <c r="AQ66" s="12">
        <v>0</v>
      </c>
      <c r="AR66" s="12"/>
      <c r="AS66" s="12">
        <v>0</v>
      </c>
      <c r="AT66" s="12">
        <v>0</v>
      </c>
      <c r="AU66" s="12">
        <v>0</v>
      </c>
      <c r="AV66" s="12"/>
      <c r="AW66" s="12">
        <v>0</v>
      </c>
      <c r="AX66" s="12">
        <v>0</v>
      </c>
      <c r="AY66" s="12" t="s">
        <v>37</v>
      </c>
    </row>
    <row r="67" spans="1:51">
      <c r="A67" t="s">
        <v>270</v>
      </c>
      <c r="C67" s="15" t="s">
        <v>132</v>
      </c>
      <c r="D67" s="16">
        <v>64</v>
      </c>
      <c r="E67" s="16">
        <v>7</v>
      </c>
      <c r="F67" s="16"/>
      <c r="G67" s="16"/>
      <c r="H67" s="17">
        <v>43293</v>
      </c>
      <c r="I67" s="12">
        <f t="shared" ref="I67:I69" si="1">E67/M67</f>
        <v>0.16279069767441862</v>
      </c>
      <c r="J67" s="16"/>
      <c r="K67" s="16"/>
      <c r="L67" s="16">
        <v>1</v>
      </c>
      <c r="M67" s="16">
        <v>43</v>
      </c>
      <c r="N67" s="16">
        <v>4</v>
      </c>
      <c r="O67" s="16"/>
      <c r="P67" s="18">
        <v>0</v>
      </c>
      <c r="Q67" s="18"/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/>
      <c r="X67" s="18">
        <v>8</v>
      </c>
      <c r="Y67" s="18"/>
      <c r="Z67" s="18"/>
      <c r="AA67" s="18"/>
      <c r="AB67" s="18"/>
      <c r="AC67" s="18"/>
      <c r="AD67" s="18"/>
      <c r="AE67" s="18"/>
      <c r="AF67" s="18">
        <v>1</v>
      </c>
      <c r="AG67" s="16"/>
      <c r="AH67" s="16" t="s">
        <v>73</v>
      </c>
      <c r="AI67" s="18">
        <v>0</v>
      </c>
      <c r="AJ67" s="16"/>
      <c r="AK67" s="16"/>
      <c r="AL67" s="16">
        <v>1</v>
      </c>
      <c r="AM67" s="16">
        <v>1</v>
      </c>
      <c r="AN67" s="16">
        <v>0</v>
      </c>
      <c r="AO67" s="16">
        <v>0</v>
      </c>
      <c r="AP67" s="16">
        <v>0</v>
      </c>
      <c r="AQ67" s="16">
        <v>0</v>
      </c>
      <c r="AR67" s="16"/>
      <c r="AS67" s="16">
        <v>0</v>
      </c>
      <c r="AT67" s="16">
        <v>0</v>
      </c>
      <c r="AU67" s="16">
        <v>0</v>
      </c>
      <c r="AV67" s="16"/>
      <c r="AW67" s="16">
        <v>0</v>
      </c>
      <c r="AX67" s="16">
        <v>0</v>
      </c>
      <c r="AY67" s="16" t="s">
        <v>113</v>
      </c>
    </row>
    <row r="68" spans="1:51">
      <c r="A68" t="s">
        <v>270</v>
      </c>
      <c r="C68" s="11" t="s">
        <v>133</v>
      </c>
      <c r="D68" s="12">
        <v>63</v>
      </c>
      <c r="E68" s="12">
        <v>8.5</v>
      </c>
      <c r="F68" s="12"/>
      <c r="G68" s="12"/>
      <c r="H68" s="19">
        <v>43117</v>
      </c>
      <c r="I68" s="12">
        <f t="shared" si="1"/>
        <v>0.17708333333333334</v>
      </c>
      <c r="J68" s="12"/>
      <c r="K68" s="12"/>
      <c r="L68" s="12">
        <v>1</v>
      </c>
      <c r="M68" s="12">
        <v>48</v>
      </c>
      <c r="N68" s="12">
        <v>5</v>
      </c>
      <c r="O68" s="12"/>
      <c r="P68" s="14">
        <v>0</v>
      </c>
      <c r="Q68" s="14"/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/>
      <c r="X68" s="14">
        <v>19</v>
      </c>
      <c r="Y68" s="14"/>
      <c r="Z68" s="14"/>
      <c r="AA68" s="14"/>
      <c r="AB68" s="14"/>
      <c r="AC68" s="14"/>
      <c r="AD68" s="14"/>
      <c r="AE68" s="14"/>
      <c r="AF68" s="14">
        <v>1</v>
      </c>
      <c r="AG68" s="12"/>
      <c r="AH68" s="12" t="s">
        <v>129</v>
      </c>
      <c r="AI68" s="14">
        <v>0</v>
      </c>
      <c r="AJ68" s="12"/>
      <c r="AK68" s="12"/>
      <c r="AL68" s="12">
        <v>4</v>
      </c>
      <c r="AM68" s="12">
        <v>4</v>
      </c>
      <c r="AN68" s="12">
        <v>0</v>
      </c>
      <c r="AO68" s="12">
        <v>0</v>
      </c>
      <c r="AP68" s="12">
        <v>0</v>
      </c>
      <c r="AQ68" s="12">
        <v>0</v>
      </c>
      <c r="AR68" s="12"/>
      <c r="AS68" s="12">
        <v>0</v>
      </c>
      <c r="AT68" s="12">
        <v>0</v>
      </c>
      <c r="AU68" s="12">
        <v>0</v>
      </c>
      <c r="AV68" s="12"/>
      <c r="AW68" s="12">
        <v>0</v>
      </c>
      <c r="AX68" s="12">
        <v>0</v>
      </c>
      <c r="AY68" s="12" t="s">
        <v>134</v>
      </c>
    </row>
    <row r="69" spans="1:51">
      <c r="A69" t="s">
        <v>270</v>
      </c>
      <c r="C69" s="20" t="s">
        <v>135</v>
      </c>
      <c r="D69" s="21">
        <v>57</v>
      </c>
      <c r="E69" s="21">
        <v>7.6</v>
      </c>
      <c r="F69" s="21"/>
      <c r="G69" s="21"/>
      <c r="H69" s="22">
        <v>43188</v>
      </c>
      <c r="I69" s="12">
        <f t="shared" si="1"/>
        <v>9.8701298701298693E-2</v>
      </c>
      <c r="J69" s="21"/>
      <c r="K69" s="21"/>
      <c r="L69" s="21">
        <v>0</v>
      </c>
      <c r="M69" s="21">
        <v>77</v>
      </c>
      <c r="N69" s="21">
        <v>3</v>
      </c>
      <c r="O69" s="21"/>
      <c r="P69" s="23">
        <v>0</v>
      </c>
      <c r="Q69" s="23"/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/>
      <c r="X69" s="23">
        <v>34</v>
      </c>
      <c r="Y69" s="23"/>
      <c r="Z69" s="23"/>
      <c r="AA69" s="23"/>
      <c r="AB69" s="23"/>
      <c r="AC69" s="23"/>
      <c r="AD69" s="23"/>
      <c r="AE69" s="23"/>
      <c r="AF69" s="23">
        <v>1</v>
      </c>
      <c r="AG69" s="21">
        <v>40</v>
      </c>
      <c r="AH69" s="21"/>
      <c r="AI69" s="23">
        <v>1</v>
      </c>
      <c r="AJ69" s="21">
        <v>5</v>
      </c>
      <c r="AK69" s="21"/>
      <c r="AL69" s="21">
        <v>2</v>
      </c>
      <c r="AM69" s="21">
        <v>2</v>
      </c>
      <c r="AN69" s="21">
        <v>2</v>
      </c>
      <c r="AO69" s="21">
        <v>0</v>
      </c>
      <c r="AP69" s="21">
        <v>0</v>
      </c>
      <c r="AQ69" s="21">
        <v>0</v>
      </c>
      <c r="AR69" s="21"/>
      <c r="AS69" s="21">
        <v>0</v>
      </c>
      <c r="AT69" s="21">
        <v>0</v>
      </c>
      <c r="AU69" s="21">
        <v>0</v>
      </c>
      <c r="AV69" s="21"/>
      <c r="AW69" s="21">
        <v>0</v>
      </c>
      <c r="AX69" s="21">
        <v>0</v>
      </c>
      <c r="AY69" s="21" t="s">
        <v>37</v>
      </c>
    </row>
    <row r="70" spans="1:51" ht="15.75">
      <c r="C70">
        <v>61</v>
      </c>
      <c r="D70" s="24">
        <v>67</v>
      </c>
      <c r="E70" s="31">
        <v>6.4</v>
      </c>
      <c r="F70" s="127"/>
      <c r="G70" s="127"/>
      <c r="I70" s="46">
        <v>0.21333333333333335</v>
      </c>
      <c r="L70" s="31">
        <v>0</v>
      </c>
      <c r="M70" s="47">
        <v>30</v>
      </c>
      <c r="N70" s="61">
        <v>4</v>
      </c>
      <c r="P70" s="24">
        <v>0</v>
      </c>
      <c r="Q70" s="72" t="s">
        <v>139</v>
      </c>
      <c r="W70" s="64">
        <v>0.55000000000000004</v>
      </c>
      <c r="X70" s="24">
        <v>14</v>
      </c>
      <c r="Y70" s="76">
        <v>1</v>
      </c>
      <c r="Z70" s="77">
        <v>0.8</v>
      </c>
      <c r="AA70" s="78" t="s">
        <v>150</v>
      </c>
      <c r="AB70" s="102"/>
      <c r="AC70" s="102"/>
      <c r="AD70" s="102"/>
      <c r="AE70" s="72" t="s">
        <v>139</v>
      </c>
      <c r="AF70" s="104">
        <v>0</v>
      </c>
      <c r="AG70" s="104">
        <v>0</v>
      </c>
      <c r="AH70" s="104" t="s">
        <v>201</v>
      </c>
      <c r="AI70" s="104">
        <v>1</v>
      </c>
      <c r="AJ70" s="115">
        <v>0.3</v>
      </c>
      <c r="AK70" s="104" t="s">
        <v>153</v>
      </c>
      <c r="AL70" s="119">
        <v>1</v>
      </c>
      <c r="AO70" s="123">
        <v>0</v>
      </c>
      <c r="AP70" s="119"/>
      <c r="AQ70" s="119">
        <v>1</v>
      </c>
      <c r="AR70" s="119" t="s">
        <v>139</v>
      </c>
      <c r="AU70" s="119">
        <v>0</v>
      </c>
      <c r="AV70" s="119"/>
      <c r="AY70" s="125" t="s">
        <v>220</v>
      </c>
    </row>
    <row r="71" spans="1:51" ht="15.75">
      <c r="C71">
        <v>62</v>
      </c>
      <c r="D71" s="25">
        <v>56</v>
      </c>
      <c r="E71" s="32">
        <v>3.5</v>
      </c>
      <c r="F71" s="128"/>
      <c r="G71" s="128"/>
      <c r="I71" s="46">
        <v>0.10294117647058823</v>
      </c>
      <c r="L71" s="33">
        <v>0</v>
      </c>
      <c r="M71" s="48">
        <v>34</v>
      </c>
      <c r="N71" s="61">
        <v>4</v>
      </c>
      <c r="P71" s="25">
        <v>0</v>
      </c>
      <c r="Q71" s="34" t="s">
        <v>139</v>
      </c>
      <c r="W71" s="65">
        <v>0.52</v>
      </c>
      <c r="X71" s="25"/>
      <c r="Y71" s="79">
        <v>1</v>
      </c>
      <c r="Z71" s="80">
        <v>0.34</v>
      </c>
      <c r="AA71" s="81" t="s">
        <v>151</v>
      </c>
      <c r="AB71" s="102"/>
      <c r="AC71" s="102"/>
      <c r="AD71" s="102"/>
      <c r="AE71" s="34" t="s">
        <v>139</v>
      </c>
      <c r="AF71" s="104">
        <v>0</v>
      </c>
      <c r="AG71" s="106">
        <v>0</v>
      </c>
      <c r="AH71" s="106" t="s">
        <v>201</v>
      </c>
      <c r="AI71" s="104">
        <v>1</v>
      </c>
      <c r="AJ71" s="105">
        <v>0.6</v>
      </c>
      <c r="AK71" s="106" t="s">
        <v>168</v>
      </c>
      <c r="AL71" s="120">
        <v>2</v>
      </c>
      <c r="AO71" s="123">
        <v>0</v>
      </c>
      <c r="AP71" s="120"/>
      <c r="AQ71" s="120">
        <v>0</v>
      </c>
      <c r="AR71" s="120"/>
      <c r="AU71" s="120">
        <v>0</v>
      </c>
      <c r="AV71" s="120"/>
      <c r="AY71" s="125">
        <v>2</v>
      </c>
    </row>
    <row r="72" spans="1:51" ht="15.75">
      <c r="C72">
        <v>63</v>
      </c>
      <c r="D72" s="25">
        <v>70</v>
      </c>
      <c r="E72" s="33">
        <v>11.9</v>
      </c>
      <c r="F72" s="129"/>
      <c r="G72" s="129"/>
      <c r="I72" s="46">
        <v>0.11666666666666667</v>
      </c>
      <c r="L72" s="33">
        <v>1</v>
      </c>
      <c r="M72" s="48">
        <v>102</v>
      </c>
      <c r="N72" s="61">
        <v>4</v>
      </c>
      <c r="P72" s="25">
        <v>1</v>
      </c>
      <c r="Q72" s="34" t="s">
        <v>139</v>
      </c>
      <c r="W72" s="65">
        <v>0.7</v>
      </c>
      <c r="X72" s="25"/>
      <c r="Y72" s="82">
        <v>1</v>
      </c>
      <c r="Z72" s="80">
        <v>0.21</v>
      </c>
      <c r="AA72" s="81" t="s">
        <v>152</v>
      </c>
      <c r="AB72" s="102"/>
      <c r="AC72" s="103"/>
      <c r="AD72" s="103"/>
      <c r="AE72" s="34" t="s">
        <v>139</v>
      </c>
      <c r="AF72" s="104">
        <v>1</v>
      </c>
      <c r="AG72" s="105">
        <v>0.05</v>
      </c>
      <c r="AH72" s="106" t="s">
        <v>161</v>
      </c>
      <c r="AI72" s="104">
        <v>1</v>
      </c>
      <c r="AJ72" s="105">
        <v>0.1</v>
      </c>
      <c r="AK72" s="106" t="s">
        <v>161</v>
      </c>
      <c r="AL72" s="120">
        <v>2</v>
      </c>
      <c r="AO72" s="123">
        <v>1</v>
      </c>
      <c r="AP72" s="120"/>
      <c r="AQ72" s="120"/>
      <c r="AR72" s="120"/>
      <c r="AU72" s="120"/>
      <c r="AV72" s="120"/>
      <c r="AY72" s="125">
        <v>2</v>
      </c>
    </row>
    <row r="73" spans="1:51" ht="15.75">
      <c r="C73">
        <v>64</v>
      </c>
      <c r="D73" s="25">
        <v>76</v>
      </c>
      <c r="E73" s="33">
        <v>8.82</v>
      </c>
      <c r="F73" s="129"/>
      <c r="G73" s="129"/>
      <c r="I73" s="46">
        <v>0.1225</v>
      </c>
      <c r="L73" s="33">
        <v>1</v>
      </c>
      <c r="M73" s="48">
        <v>72</v>
      </c>
      <c r="N73" s="61">
        <v>4</v>
      </c>
      <c r="P73" s="25">
        <v>0</v>
      </c>
      <c r="Q73" s="34" t="s">
        <v>140</v>
      </c>
      <c r="W73" s="65">
        <v>0.78</v>
      </c>
      <c r="X73" s="25"/>
      <c r="Y73" s="79">
        <v>2</v>
      </c>
      <c r="Z73" s="80">
        <v>0.52</v>
      </c>
      <c r="AA73" s="81" t="s">
        <v>153</v>
      </c>
      <c r="AB73" s="102"/>
      <c r="AC73" s="103"/>
      <c r="AD73" s="103"/>
      <c r="AE73" s="34" t="s">
        <v>140</v>
      </c>
      <c r="AF73" s="104">
        <v>1</v>
      </c>
      <c r="AG73" s="105">
        <v>0.1</v>
      </c>
      <c r="AH73" s="106" t="s">
        <v>161</v>
      </c>
      <c r="AI73" s="104">
        <v>0</v>
      </c>
      <c r="AJ73" s="106">
        <v>0</v>
      </c>
      <c r="AK73" s="106" t="s">
        <v>203</v>
      </c>
      <c r="AL73" s="120">
        <v>2</v>
      </c>
      <c r="AO73" s="123">
        <v>0</v>
      </c>
      <c r="AP73" s="120"/>
      <c r="AQ73" s="120">
        <v>0</v>
      </c>
      <c r="AR73" s="120"/>
      <c r="AU73" s="120">
        <v>0</v>
      </c>
      <c r="AV73" s="120"/>
      <c r="AY73" s="125">
        <v>2</v>
      </c>
    </row>
    <row r="74" spans="1:51" ht="15.75">
      <c r="C74">
        <v>65</v>
      </c>
      <c r="D74" s="25">
        <v>56</v>
      </c>
      <c r="E74" s="33">
        <v>5.5</v>
      </c>
      <c r="F74" s="129"/>
      <c r="G74" s="129"/>
      <c r="I74" s="46">
        <v>0.15277777777777779</v>
      </c>
      <c r="L74" s="33">
        <v>1</v>
      </c>
      <c r="M74" s="48">
        <v>36</v>
      </c>
      <c r="N74" s="61">
        <v>4</v>
      </c>
      <c r="P74" s="25">
        <v>0</v>
      </c>
      <c r="Q74" s="34" t="s">
        <v>139</v>
      </c>
      <c r="W74" s="65">
        <v>0.34</v>
      </c>
      <c r="X74" s="25"/>
      <c r="Y74" s="82">
        <v>3</v>
      </c>
      <c r="Z74" s="81">
        <v>40</v>
      </c>
      <c r="AA74" s="81" t="s">
        <v>150</v>
      </c>
      <c r="AB74" s="102"/>
      <c r="AC74" s="103"/>
      <c r="AD74" s="103"/>
      <c r="AE74" s="34" t="s">
        <v>139</v>
      </c>
      <c r="AF74" s="104">
        <v>0</v>
      </c>
      <c r="AG74" s="106">
        <v>0</v>
      </c>
      <c r="AH74" s="106" t="s">
        <v>203</v>
      </c>
      <c r="AI74" s="104">
        <v>3</v>
      </c>
      <c r="AJ74" s="105">
        <v>0.25</v>
      </c>
      <c r="AK74" s="106" t="s">
        <v>151</v>
      </c>
      <c r="AL74" s="120">
        <v>3</v>
      </c>
      <c r="AO74" s="123">
        <v>0</v>
      </c>
      <c r="AP74" s="120">
        <v>0</v>
      </c>
      <c r="AQ74" s="120">
        <v>1</v>
      </c>
      <c r="AR74" s="120" t="s">
        <v>140</v>
      </c>
      <c r="AU74" s="120">
        <v>1</v>
      </c>
      <c r="AV74" s="120"/>
      <c r="AY74" s="125" t="s">
        <v>220</v>
      </c>
    </row>
    <row r="75" spans="1:51" ht="15.75">
      <c r="C75">
        <v>66</v>
      </c>
      <c r="D75" s="25">
        <v>68</v>
      </c>
      <c r="E75" s="33">
        <v>10.8</v>
      </c>
      <c r="F75" s="129"/>
      <c r="G75" s="129"/>
      <c r="I75" s="46">
        <v>0.22500000000000001</v>
      </c>
      <c r="L75" s="33">
        <v>0</v>
      </c>
      <c r="M75" s="48">
        <v>48</v>
      </c>
      <c r="N75" s="61">
        <v>5</v>
      </c>
      <c r="P75" s="25">
        <v>1</v>
      </c>
      <c r="Q75" s="34" t="s">
        <v>140</v>
      </c>
      <c r="W75" s="64">
        <v>5.84</v>
      </c>
      <c r="X75" s="25"/>
      <c r="Y75" s="79">
        <v>2</v>
      </c>
      <c r="Z75" s="80">
        <v>0.62</v>
      </c>
      <c r="AA75" s="81" t="s">
        <v>154</v>
      </c>
      <c r="AB75" s="102"/>
      <c r="AC75" s="103"/>
      <c r="AD75" s="103"/>
      <c r="AE75" s="34" t="s">
        <v>140</v>
      </c>
      <c r="AF75" s="104">
        <v>0</v>
      </c>
      <c r="AG75" s="106">
        <v>0</v>
      </c>
      <c r="AH75" s="106" t="s">
        <v>201</v>
      </c>
      <c r="AI75" s="104">
        <v>0</v>
      </c>
      <c r="AJ75" s="106">
        <v>0</v>
      </c>
      <c r="AK75" s="106" t="s">
        <v>201</v>
      </c>
      <c r="AL75" s="120">
        <v>1</v>
      </c>
      <c r="AO75" s="123">
        <v>0</v>
      </c>
      <c r="AP75" s="120"/>
      <c r="AQ75" s="120">
        <v>0</v>
      </c>
      <c r="AR75" s="120"/>
      <c r="AU75" s="120">
        <v>0</v>
      </c>
      <c r="AV75" s="120"/>
      <c r="AY75" s="125">
        <v>2</v>
      </c>
    </row>
    <row r="76" spans="1:51" ht="15.75">
      <c r="C76">
        <v>67</v>
      </c>
      <c r="D76" s="25">
        <v>70</v>
      </c>
      <c r="E76" s="33">
        <v>6.5</v>
      </c>
      <c r="F76" s="129"/>
      <c r="G76" s="129"/>
      <c r="I76" s="46">
        <v>0.13</v>
      </c>
      <c r="L76" s="33">
        <v>0</v>
      </c>
      <c r="M76" s="48">
        <v>50</v>
      </c>
      <c r="N76" s="61">
        <v>4</v>
      </c>
      <c r="P76" s="25">
        <v>0</v>
      </c>
      <c r="Q76" s="34" t="s">
        <v>139</v>
      </c>
      <c r="W76" s="65">
        <v>0.63</v>
      </c>
      <c r="X76" s="25"/>
      <c r="Y76" s="82">
        <v>1</v>
      </c>
      <c r="Z76" s="80">
        <v>0.53</v>
      </c>
      <c r="AA76" s="81" t="s">
        <v>150</v>
      </c>
      <c r="AB76" s="102"/>
      <c r="AC76" s="103"/>
      <c r="AD76" s="103"/>
      <c r="AE76" s="34" t="s">
        <v>139</v>
      </c>
      <c r="AF76" s="104">
        <v>0</v>
      </c>
      <c r="AG76" s="106">
        <v>0</v>
      </c>
      <c r="AH76" s="106" t="s">
        <v>201</v>
      </c>
      <c r="AI76" s="104">
        <v>0</v>
      </c>
      <c r="AJ76" s="105">
        <v>0</v>
      </c>
      <c r="AK76" s="106" t="s">
        <v>201</v>
      </c>
      <c r="AL76" s="120">
        <v>2</v>
      </c>
      <c r="AO76" s="123">
        <v>1</v>
      </c>
      <c r="AP76" s="120"/>
      <c r="AQ76" s="120">
        <v>1</v>
      </c>
      <c r="AR76" s="120" t="s">
        <v>140</v>
      </c>
      <c r="AU76" s="120">
        <v>0</v>
      </c>
      <c r="AV76" s="120"/>
      <c r="AY76" s="125" t="s">
        <v>220</v>
      </c>
    </row>
    <row r="77" spans="1:51" ht="15.75">
      <c r="C77">
        <v>68</v>
      </c>
      <c r="D77" s="24">
        <v>75</v>
      </c>
      <c r="E77" s="34">
        <v>13.5</v>
      </c>
      <c r="F77" s="130"/>
      <c r="G77" s="130"/>
      <c r="I77" s="46">
        <v>0.22500000000000001</v>
      </c>
      <c r="L77" s="34">
        <v>0</v>
      </c>
      <c r="M77" s="49">
        <v>60</v>
      </c>
      <c r="N77" s="61">
        <v>3</v>
      </c>
      <c r="P77" s="24">
        <v>0</v>
      </c>
      <c r="Q77" s="34" t="s">
        <v>140</v>
      </c>
      <c r="W77" s="64">
        <v>2.57</v>
      </c>
      <c r="X77" s="24"/>
      <c r="Y77" s="79">
        <v>1</v>
      </c>
      <c r="Z77" s="77">
        <v>0.2</v>
      </c>
      <c r="AA77" s="78" t="s">
        <v>155</v>
      </c>
      <c r="AB77" s="102"/>
      <c r="AC77" s="102"/>
      <c r="AD77" s="102"/>
      <c r="AE77" s="34" t="s">
        <v>140</v>
      </c>
      <c r="AF77" s="104">
        <v>1</v>
      </c>
      <c r="AG77" s="115">
        <v>0.2</v>
      </c>
      <c r="AH77" s="104" t="s">
        <v>155</v>
      </c>
      <c r="AI77" s="104">
        <v>0</v>
      </c>
      <c r="AJ77" s="104">
        <v>0</v>
      </c>
      <c r="AK77" s="104" t="s">
        <v>201</v>
      </c>
      <c r="AL77" s="119">
        <v>2</v>
      </c>
      <c r="AO77" s="124">
        <v>0</v>
      </c>
      <c r="AP77" s="119">
        <v>0</v>
      </c>
      <c r="AQ77" s="119">
        <v>1</v>
      </c>
      <c r="AR77" s="119" t="s">
        <v>140</v>
      </c>
      <c r="AU77" s="119">
        <v>0</v>
      </c>
      <c r="AV77" s="119"/>
      <c r="AY77" s="126" t="s">
        <v>220</v>
      </c>
    </row>
    <row r="78" spans="1:51" ht="15.75">
      <c r="C78">
        <v>69</v>
      </c>
      <c r="D78" s="25">
        <v>68</v>
      </c>
      <c r="E78" s="33">
        <v>17</v>
      </c>
      <c r="F78" s="129"/>
      <c r="G78" s="129"/>
      <c r="I78" s="46">
        <v>0.47222222222222221</v>
      </c>
      <c r="L78" s="33">
        <v>0</v>
      </c>
      <c r="M78" s="48">
        <v>36</v>
      </c>
      <c r="N78" s="61">
        <v>3</v>
      </c>
      <c r="P78" s="24">
        <v>0</v>
      </c>
      <c r="Q78" s="34" t="s">
        <v>139</v>
      </c>
      <c r="W78" s="65">
        <v>0.67</v>
      </c>
      <c r="X78" s="25"/>
      <c r="Y78" s="79">
        <v>1</v>
      </c>
      <c r="Z78" s="80">
        <v>0.35</v>
      </c>
      <c r="AA78" s="81" t="s">
        <v>154</v>
      </c>
      <c r="AB78" s="102"/>
      <c r="AC78" s="103"/>
      <c r="AD78" s="103"/>
      <c r="AE78" s="34" t="s">
        <v>139</v>
      </c>
      <c r="AF78" s="104">
        <v>1</v>
      </c>
      <c r="AG78" s="105">
        <v>0.15</v>
      </c>
      <c r="AH78" s="106" t="s">
        <v>168</v>
      </c>
      <c r="AI78" s="104">
        <v>0</v>
      </c>
      <c r="AJ78" s="106">
        <v>0</v>
      </c>
      <c r="AK78" s="106" t="s">
        <v>201</v>
      </c>
      <c r="AL78" s="120">
        <v>1</v>
      </c>
      <c r="AO78" s="123">
        <v>0</v>
      </c>
      <c r="AP78" s="120"/>
      <c r="AQ78" s="120">
        <v>0</v>
      </c>
      <c r="AR78" s="120"/>
      <c r="AU78" s="120">
        <v>0</v>
      </c>
      <c r="AV78" s="120"/>
      <c r="AY78" s="125">
        <v>2</v>
      </c>
    </row>
    <row r="79" spans="1:51" ht="15.75">
      <c r="C79">
        <v>70</v>
      </c>
      <c r="D79" s="25">
        <v>78</v>
      </c>
      <c r="E79" s="33">
        <v>8.3000000000000007</v>
      </c>
      <c r="F79" s="129"/>
      <c r="G79" s="129"/>
      <c r="I79" s="46">
        <v>0.17291666666666669</v>
      </c>
      <c r="L79" s="33">
        <v>1</v>
      </c>
      <c r="M79" s="48">
        <v>48</v>
      </c>
      <c r="N79" s="61">
        <v>4</v>
      </c>
      <c r="P79" s="24">
        <v>0</v>
      </c>
      <c r="Q79" s="34" t="s">
        <v>139</v>
      </c>
      <c r="W79" s="64">
        <v>0.96</v>
      </c>
      <c r="X79" s="25">
        <v>9</v>
      </c>
      <c r="Y79" s="79">
        <v>1</v>
      </c>
      <c r="Z79" s="80">
        <v>0.45</v>
      </c>
      <c r="AA79" s="81" t="s">
        <v>156</v>
      </c>
      <c r="AB79" s="102"/>
      <c r="AC79" s="103"/>
      <c r="AD79" s="103"/>
      <c r="AE79" s="34" t="s">
        <v>139</v>
      </c>
      <c r="AF79" s="104">
        <v>1</v>
      </c>
      <c r="AG79" s="105">
        <v>0.33</v>
      </c>
      <c r="AH79" s="106" t="s">
        <v>168</v>
      </c>
      <c r="AI79" s="104">
        <v>1</v>
      </c>
      <c r="AJ79" s="105">
        <v>0.1</v>
      </c>
      <c r="AK79" s="106" t="s">
        <v>168</v>
      </c>
      <c r="AL79" s="120">
        <v>2</v>
      </c>
      <c r="AO79" s="123">
        <v>0</v>
      </c>
      <c r="AP79" s="120"/>
      <c r="AQ79" s="120">
        <v>1</v>
      </c>
      <c r="AR79" s="120" t="s">
        <v>139</v>
      </c>
      <c r="AU79" s="120">
        <v>0</v>
      </c>
      <c r="AV79" s="120"/>
      <c r="AY79" s="125" t="s">
        <v>220</v>
      </c>
    </row>
    <row r="80" spans="1:51" ht="15.75">
      <c r="C80">
        <v>71</v>
      </c>
      <c r="D80" s="25">
        <v>67</v>
      </c>
      <c r="E80" s="31">
        <v>7.9</v>
      </c>
      <c r="F80" s="127"/>
      <c r="G80" s="127"/>
      <c r="I80" s="46">
        <v>0.32916666666666666</v>
      </c>
      <c r="L80" s="31">
        <v>0</v>
      </c>
      <c r="M80" s="47">
        <v>24</v>
      </c>
      <c r="N80" s="61">
        <v>4</v>
      </c>
      <c r="P80" s="24">
        <v>0</v>
      </c>
      <c r="Q80" s="72" t="s">
        <v>140</v>
      </c>
      <c r="W80" s="65">
        <v>2.79</v>
      </c>
      <c r="X80" s="25">
        <v>19</v>
      </c>
      <c r="Y80" s="76">
        <v>1</v>
      </c>
      <c r="Z80" s="80">
        <v>0.5</v>
      </c>
      <c r="AA80" s="81" t="s">
        <v>157</v>
      </c>
      <c r="AB80" s="104">
        <v>2</v>
      </c>
      <c r="AC80" s="105">
        <v>0.15</v>
      </c>
      <c r="AD80" s="106" t="s">
        <v>154</v>
      </c>
      <c r="AE80" s="72" t="s">
        <v>140</v>
      </c>
      <c r="AF80" s="104">
        <v>1</v>
      </c>
      <c r="AG80" s="105">
        <v>0.2</v>
      </c>
      <c r="AH80" s="106" t="s">
        <v>155</v>
      </c>
      <c r="AI80" s="26"/>
      <c r="AJ80" s="26"/>
      <c r="AK80" s="26"/>
      <c r="AL80" s="120">
        <v>2</v>
      </c>
      <c r="AO80" s="123">
        <v>1</v>
      </c>
      <c r="AP80" s="120"/>
      <c r="AQ80" s="120">
        <v>1</v>
      </c>
      <c r="AR80" s="120" t="s">
        <v>139</v>
      </c>
      <c r="AU80" s="120">
        <v>0</v>
      </c>
      <c r="AV80" s="120"/>
      <c r="AY80" s="125" t="s">
        <v>220</v>
      </c>
    </row>
    <row r="81" spans="3:51">
      <c r="C81">
        <v>72</v>
      </c>
      <c r="D81" s="25">
        <v>65</v>
      </c>
      <c r="E81" s="35">
        <v>5</v>
      </c>
      <c r="F81" s="131"/>
      <c r="G81" s="131"/>
      <c r="I81" s="46">
        <v>0.10416666666666667</v>
      </c>
      <c r="L81" s="60">
        <v>0</v>
      </c>
      <c r="M81" s="50">
        <v>48</v>
      </c>
      <c r="N81" s="62">
        <v>4</v>
      </c>
      <c r="P81" s="24">
        <v>0</v>
      </c>
      <c r="Q81" s="25" t="s">
        <v>140</v>
      </c>
      <c r="W81" s="65">
        <v>0.91</v>
      </c>
      <c r="X81" s="25"/>
      <c r="Y81" s="83">
        <v>2</v>
      </c>
      <c r="Z81" s="80">
        <v>0.5</v>
      </c>
      <c r="AA81" s="81" t="s">
        <v>158</v>
      </c>
      <c r="AB81" s="102"/>
      <c r="AC81" s="103"/>
      <c r="AD81" s="103"/>
      <c r="AE81" s="25" t="s">
        <v>140</v>
      </c>
      <c r="AF81" s="104">
        <v>0</v>
      </c>
      <c r="AG81" s="106">
        <v>0</v>
      </c>
      <c r="AH81" s="106" t="s">
        <v>201</v>
      </c>
      <c r="AI81" s="104">
        <v>2</v>
      </c>
      <c r="AJ81" s="105">
        <v>0.05</v>
      </c>
      <c r="AK81" s="106" t="s">
        <v>168</v>
      </c>
      <c r="AL81" s="120">
        <v>3</v>
      </c>
      <c r="AO81" s="120">
        <v>0</v>
      </c>
      <c r="AP81" s="120"/>
      <c r="AQ81" s="120">
        <v>0</v>
      </c>
      <c r="AR81" s="120"/>
      <c r="AU81" s="120">
        <v>0</v>
      </c>
      <c r="AV81" s="120"/>
      <c r="AY81" s="120">
        <v>2</v>
      </c>
    </row>
    <row r="82" spans="3:51" ht="15.75">
      <c r="C82">
        <v>73</v>
      </c>
      <c r="D82" s="25">
        <v>66</v>
      </c>
      <c r="E82" s="33">
        <v>6.8</v>
      </c>
      <c r="F82" s="129"/>
      <c r="G82" s="129"/>
      <c r="I82" s="46">
        <v>0.22666666666666666</v>
      </c>
      <c r="L82" s="33">
        <v>0</v>
      </c>
      <c r="M82" s="48">
        <v>30</v>
      </c>
      <c r="N82" s="61">
        <v>4</v>
      </c>
      <c r="P82" s="24">
        <v>0</v>
      </c>
      <c r="Q82" s="34" t="s">
        <v>139</v>
      </c>
      <c r="W82" s="65">
        <v>0.28000000000000003</v>
      </c>
      <c r="X82" s="25"/>
      <c r="Y82" s="82">
        <v>3</v>
      </c>
      <c r="Z82" s="80">
        <v>0.8</v>
      </c>
      <c r="AA82" s="81" t="s">
        <v>159</v>
      </c>
      <c r="AB82" s="102"/>
      <c r="AC82" s="103"/>
      <c r="AD82" s="103"/>
      <c r="AE82" s="34" t="s">
        <v>139</v>
      </c>
      <c r="AF82" s="104">
        <v>0</v>
      </c>
      <c r="AG82" s="106">
        <v>0</v>
      </c>
      <c r="AH82" s="106" t="s">
        <v>203</v>
      </c>
      <c r="AI82" s="104">
        <v>1</v>
      </c>
      <c r="AJ82" s="105">
        <v>0.2</v>
      </c>
      <c r="AK82" s="106" t="s">
        <v>176</v>
      </c>
      <c r="AL82" s="120">
        <v>3</v>
      </c>
      <c r="AO82" s="123">
        <v>1</v>
      </c>
      <c r="AP82" s="120"/>
      <c r="AQ82" s="120">
        <v>1</v>
      </c>
      <c r="AR82" s="120"/>
      <c r="AU82" s="120">
        <v>0</v>
      </c>
      <c r="AV82" s="120"/>
      <c r="AY82" s="125">
        <v>2</v>
      </c>
    </row>
    <row r="83" spans="3:51" ht="15.75">
      <c r="C83">
        <v>74</v>
      </c>
      <c r="D83" s="25">
        <v>71</v>
      </c>
      <c r="E83" s="32">
        <v>6.2</v>
      </c>
      <c r="F83" s="128"/>
      <c r="G83" s="128"/>
      <c r="I83" s="46">
        <v>0.22142857142857145</v>
      </c>
      <c r="L83" s="33">
        <v>1</v>
      </c>
      <c r="M83" s="48">
        <v>28</v>
      </c>
      <c r="N83" s="61">
        <v>3</v>
      </c>
      <c r="P83" s="25">
        <v>0</v>
      </c>
      <c r="Q83" s="34" t="s">
        <v>139</v>
      </c>
      <c r="W83" s="64">
        <v>1.0900000000000001</v>
      </c>
      <c r="X83" s="25"/>
      <c r="Y83" s="82">
        <v>2</v>
      </c>
      <c r="Z83" s="84">
        <v>0.375</v>
      </c>
      <c r="AA83" s="81" t="s">
        <v>160</v>
      </c>
      <c r="AB83" s="102"/>
      <c r="AC83" s="103"/>
      <c r="AD83" s="103"/>
      <c r="AE83" s="34" t="s">
        <v>139</v>
      </c>
      <c r="AF83" s="104">
        <v>1</v>
      </c>
      <c r="AG83" s="105">
        <v>0.21</v>
      </c>
      <c r="AH83" s="106" t="s">
        <v>155</v>
      </c>
      <c r="AI83" s="104">
        <v>1</v>
      </c>
      <c r="AJ83" s="105">
        <v>0.31</v>
      </c>
      <c r="AK83" s="106" t="s">
        <v>154</v>
      </c>
      <c r="AL83" s="120">
        <v>3</v>
      </c>
      <c r="AO83" s="123">
        <v>0</v>
      </c>
      <c r="AP83" s="120"/>
      <c r="AQ83" s="120"/>
      <c r="AR83" s="120"/>
      <c r="AU83" s="120">
        <v>0</v>
      </c>
      <c r="AV83" s="120"/>
      <c r="AY83" s="125">
        <v>2</v>
      </c>
    </row>
    <row r="84" spans="3:51" ht="15.75">
      <c r="C84">
        <v>75</v>
      </c>
      <c r="D84" s="25">
        <v>73</v>
      </c>
      <c r="E84" s="35">
        <v>5</v>
      </c>
      <c r="F84" s="131"/>
      <c r="G84" s="131"/>
      <c r="I84" s="46">
        <v>9.0909090909090912E-2</v>
      </c>
      <c r="L84" s="60"/>
      <c r="M84" s="50">
        <v>55</v>
      </c>
      <c r="N84" s="60">
        <v>4</v>
      </c>
      <c r="P84" s="25">
        <v>1</v>
      </c>
      <c r="Q84" s="25" t="s">
        <v>139</v>
      </c>
      <c r="W84" s="65">
        <v>0.46</v>
      </c>
      <c r="X84" s="25"/>
      <c r="Y84" s="82">
        <v>1</v>
      </c>
      <c r="Z84" s="80">
        <v>0.9</v>
      </c>
      <c r="AA84" s="81" t="s">
        <v>161</v>
      </c>
      <c r="AB84" s="102"/>
      <c r="AC84" s="103"/>
      <c r="AD84" s="103"/>
      <c r="AE84" s="25" t="s">
        <v>139</v>
      </c>
      <c r="AF84" s="104">
        <v>0</v>
      </c>
      <c r="AG84" s="106">
        <v>0</v>
      </c>
      <c r="AH84" s="106" t="s">
        <v>201</v>
      </c>
      <c r="AI84" s="104">
        <v>0</v>
      </c>
      <c r="AJ84" s="106">
        <v>0</v>
      </c>
      <c r="AK84" s="106" t="s">
        <v>201</v>
      </c>
      <c r="AL84" s="120">
        <v>1</v>
      </c>
      <c r="AO84" s="123">
        <v>0</v>
      </c>
      <c r="AP84" s="120"/>
      <c r="AQ84" s="120">
        <v>0</v>
      </c>
      <c r="AR84" s="120"/>
      <c r="AU84" s="120">
        <v>0</v>
      </c>
      <c r="AV84" s="120"/>
      <c r="AY84" s="125">
        <v>2</v>
      </c>
    </row>
    <row r="85" spans="3:51" ht="15.75">
      <c r="C85">
        <v>76</v>
      </c>
      <c r="D85" s="25">
        <v>57</v>
      </c>
      <c r="E85" s="32">
        <v>6</v>
      </c>
      <c r="F85" s="128"/>
      <c r="G85" s="128"/>
      <c r="I85" s="46">
        <v>0.19354838709677419</v>
      </c>
      <c r="L85" s="33">
        <v>1</v>
      </c>
      <c r="M85" s="48">
        <v>31</v>
      </c>
      <c r="N85" s="61">
        <v>5</v>
      </c>
      <c r="P85" s="25">
        <v>0</v>
      </c>
      <c r="Q85" s="34" t="s">
        <v>139</v>
      </c>
      <c r="W85" s="64">
        <v>0.65</v>
      </c>
      <c r="X85" s="25"/>
      <c r="Y85" s="82">
        <v>1</v>
      </c>
      <c r="Z85" s="80">
        <v>0.6</v>
      </c>
      <c r="AA85" s="81" t="s">
        <v>157</v>
      </c>
      <c r="AB85" s="102"/>
      <c r="AC85" s="103"/>
      <c r="AD85" s="103"/>
      <c r="AE85" s="34" t="s">
        <v>139</v>
      </c>
      <c r="AF85" s="104">
        <v>1</v>
      </c>
      <c r="AG85" s="106">
        <v>33</v>
      </c>
      <c r="AH85" s="106" t="s">
        <v>153</v>
      </c>
      <c r="AI85" s="104">
        <v>1</v>
      </c>
      <c r="AJ85" s="106">
        <v>47</v>
      </c>
      <c r="AK85" s="106" t="s">
        <v>213</v>
      </c>
      <c r="AL85" s="120">
        <v>3</v>
      </c>
      <c r="AO85" s="123">
        <v>1</v>
      </c>
      <c r="AP85" s="120"/>
      <c r="AQ85" s="120"/>
      <c r="AR85" s="120"/>
      <c r="AU85" s="120">
        <v>0</v>
      </c>
      <c r="AV85" s="120"/>
      <c r="AY85" s="125">
        <v>2</v>
      </c>
    </row>
    <row r="86" spans="3:51" ht="15.75">
      <c r="C86">
        <v>77</v>
      </c>
      <c r="D86" s="25">
        <v>53</v>
      </c>
      <c r="E86" s="33">
        <v>72</v>
      </c>
      <c r="F86" s="129"/>
      <c r="G86" s="129"/>
      <c r="I86" s="46">
        <v>1.3584905660377358</v>
      </c>
      <c r="L86" s="33">
        <v>1</v>
      </c>
      <c r="M86" s="48">
        <v>53</v>
      </c>
      <c r="N86" s="61">
        <v>5</v>
      </c>
      <c r="P86" s="25">
        <v>1</v>
      </c>
      <c r="Q86" s="34" t="s">
        <v>139</v>
      </c>
      <c r="W86" s="64">
        <v>0.62</v>
      </c>
      <c r="X86" s="25"/>
      <c r="Y86" s="79">
        <v>1</v>
      </c>
      <c r="Z86" s="80">
        <v>0.5</v>
      </c>
      <c r="AA86" s="81" t="s">
        <v>162</v>
      </c>
      <c r="AB86" s="102"/>
      <c r="AC86" s="103"/>
      <c r="AD86" s="103"/>
      <c r="AE86" s="34" t="s">
        <v>139</v>
      </c>
      <c r="AF86" s="104">
        <v>1</v>
      </c>
      <c r="AG86" s="105">
        <v>0.75</v>
      </c>
      <c r="AH86" s="106" t="s">
        <v>158</v>
      </c>
      <c r="AI86" s="104">
        <v>1</v>
      </c>
      <c r="AJ86" s="105">
        <v>0.72</v>
      </c>
      <c r="AK86" s="106" t="s">
        <v>158</v>
      </c>
      <c r="AL86" s="120">
        <v>2</v>
      </c>
      <c r="AO86" s="123">
        <v>1</v>
      </c>
      <c r="AP86" s="120">
        <v>1</v>
      </c>
      <c r="AQ86" s="120">
        <v>1</v>
      </c>
      <c r="AR86" s="120" t="s">
        <v>217</v>
      </c>
      <c r="AU86" s="120">
        <v>1</v>
      </c>
      <c r="AV86" s="120"/>
      <c r="AY86" s="125" t="s">
        <v>220</v>
      </c>
    </row>
    <row r="87" spans="3:51" ht="15.75">
      <c r="C87">
        <v>78</v>
      </c>
      <c r="D87" s="25">
        <v>69</v>
      </c>
      <c r="E87" s="36">
        <v>33</v>
      </c>
      <c r="F87" s="132"/>
      <c r="G87" s="132"/>
      <c r="I87" s="46">
        <v>0.7938417127736348</v>
      </c>
      <c r="L87" s="36">
        <v>1</v>
      </c>
      <c r="M87" s="51">
        <v>41</v>
      </c>
      <c r="N87" s="63">
        <v>4</v>
      </c>
      <c r="P87" s="25">
        <v>1</v>
      </c>
      <c r="Q87" s="63" t="s">
        <v>140</v>
      </c>
      <c r="W87" s="65">
        <v>1.74</v>
      </c>
      <c r="X87" s="25"/>
      <c r="Y87" s="85">
        <v>5</v>
      </c>
      <c r="Z87" s="80">
        <v>0.67</v>
      </c>
      <c r="AA87" s="81" t="s">
        <v>163</v>
      </c>
      <c r="AB87" s="102"/>
      <c r="AC87" s="103"/>
      <c r="AD87" s="103"/>
      <c r="AE87" s="63" t="s">
        <v>140</v>
      </c>
      <c r="AF87" s="104">
        <v>4</v>
      </c>
      <c r="AG87" s="105">
        <v>0.08</v>
      </c>
      <c r="AH87" s="106" t="s">
        <v>161</v>
      </c>
      <c r="AI87" s="104">
        <v>0</v>
      </c>
      <c r="AJ87" s="105">
        <v>0</v>
      </c>
      <c r="AK87" s="106" t="s">
        <v>201</v>
      </c>
      <c r="AL87" s="120">
        <v>5</v>
      </c>
      <c r="AO87" s="123">
        <v>1</v>
      </c>
      <c r="AP87" s="120">
        <v>0</v>
      </c>
      <c r="AQ87" s="120">
        <v>1</v>
      </c>
      <c r="AR87" s="120" t="s">
        <v>140</v>
      </c>
      <c r="AU87" s="120">
        <v>0</v>
      </c>
      <c r="AV87" s="120"/>
      <c r="AY87" s="125" t="s">
        <v>220</v>
      </c>
    </row>
    <row r="88" spans="3:51" ht="15.75">
      <c r="C88">
        <v>79</v>
      </c>
      <c r="D88" s="25">
        <v>70</v>
      </c>
      <c r="E88" s="33">
        <v>12</v>
      </c>
      <c r="F88" s="129"/>
      <c r="G88" s="129"/>
      <c r="I88" s="46">
        <v>0.24489795918367346</v>
      </c>
      <c r="L88" s="33">
        <v>0</v>
      </c>
      <c r="M88" s="48">
        <v>49</v>
      </c>
      <c r="N88" s="61">
        <v>4</v>
      </c>
      <c r="P88" s="24">
        <v>0</v>
      </c>
      <c r="Q88" s="34" t="s">
        <v>140</v>
      </c>
      <c r="W88" s="65">
        <v>1.05</v>
      </c>
      <c r="X88" s="25"/>
      <c r="Y88" s="79">
        <v>4</v>
      </c>
      <c r="Z88" s="80">
        <v>0.5</v>
      </c>
      <c r="AA88" s="81" t="s">
        <v>151</v>
      </c>
      <c r="AB88" s="102"/>
      <c r="AC88" s="103"/>
      <c r="AD88" s="103"/>
      <c r="AE88" s="34" t="s">
        <v>140</v>
      </c>
      <c r="AF88" s="104">
        <v>0</v>
      </c>
      <c r="AG88" s="106">
        <v>0</v>
      </c>
      <c r="AH88" s="106" t="s">
        <v>206</v>
      </c>
      <c r="AI88" s="104">
        <v>0</v>
      </c>
      <c r="AJ88" s="105">
        <v>0</v>
      </c>
      <c r="AK88" s="106" t="s">
        <v>203</v>
      </c>
      <c r="AL88" s="120">
        <v>3</v>
      </c>
      <c r="AO88" s="123">
        <v>0</v>
      </c>
      <c r="AP88" s="120">
        <v>0</v>
      </c>
      <c r="AQ88" s="120">
        <v>0</v>
      </c>
      <c r="AR88" s="120"/>
      <c r="AU88" s="120">
        <v>0</v>
      </c>
      <c r="AV88" s="120"/>
      <c r="AY88" s="125">
        <v>2</v>
      </c>
    </row>
    <row r="89" spans="3:51" ht="15.75">
      <c r="C89">
        <v>80</v>
      </c>
      <c r="D89" s="25">
        <v>58</v>
      </c>
      <c r="E89" s="33">
        <v>20</v>
      </c>
      <c r="F89" s="129"/>
      <c r="G89" s="129"/>
      <c r="I89" s="46">
        <v>0.86956521739130432</v>
      </c>
      <c r="L89" s="33">
        <v>1</v>
      </c>
      <c r="M89" s="48">
        <v>23</v>
      </c>
      <c r="N89" s="61">
        <v>5</v>
      </c>
      <c r="P89" s="25">
        <v>1</v>
      </c>
      <c r="Q89" s="34" t="s">
        <v>140</v>
      </c>
      <c r="W89" s="65">
        <v>3.91</v>
      </c>
      <c r="X89" s="25">
        <v>11</v>
      </c>
      <c r="Y89" s="82">
        <v>1</v>
      </c>
      <c r="Z89" s="80">
        <v>0.47</v>
      </c>
      <c r="AA89" s="81" t="s">
        <v>164</v>
      </c>
      <c r="AB89" s="102"/>
      <c r="AC89" s="103"/>
      <c r="AD89" s="103"/>
      <c r="AE89" s="34" t="s">
        <v>140</v>
      </c>
      <c r="AF89" s="104">
        <v>0</v>
      </c>
      <c r="AG89" s="105">
        <v>0</v>
      </c>
      <c r="AH89" s="106" t="s">
        <v>207</v>
      </c>
      <c r="AI89" s="104">
        <v>0</v>
      </c>
      <c r="AJ89" s="105">
        <v>0</v>
      </c>
      <c r="AK89" s="106" t="s">
        <v>214</v>
      </c>
      <c r="AL89" s="120">
        <v>1</v>
      </c>
      <c r="AO89" s="123">
        <v>0</v>
      </c>
      <c r="AP89" s="120"/>
      <c r="AQ89" s="120">
        <v>0</v>
      </c>
      <c r="AR89" s="120"/>
      <c r="AU89" s="120">
        <v>0</v>
      </c>
      <c r="AV89" s="120"/>
      <c r="AY89" s="125">
        <v>2</v>
      </c>
    </row>
    <row r="90" spans="3:51" ht="15.75">
      <c r="C90">
        <v>81</v>
      </c>
      <c r="D90" s="25">
        <v>76</v>
      </c>
      <c r="E90" s="33">
        <v>13</v>
      </c>
      <c r="F90" s="129"/>
      <c r="G90" s="129"/>
      <c r="I90" s="46">
        <v>0.25490196078431371</v>
      </c>
      <c r="L90" s="33">
        <v>0</v>
      </c>
      <c r="M90" s="48">
        <v>51</v>
      </c>
      <c r="N90" s="61">
        <v>3</v>
      </c>
      <c r="P90" s="25">
        <v>0</v>
      </c>
      <c r="Q90" s="34" t="s">
        <v>140</v>
      </c>
      <c r="W90" s="65">
        <v>0.45</v>
      </c>
      <c r="X90" s="25"/>
      <c r="Y90" s="79">
        <v>3</v>
      </c>
      <c r="Z90" s="80">
        <v>0.2</v>
      </c>
      <c r="AA90" s="81" t="s">
        <v>165</v>
      </c>
      <c r="AB90" s="102"/>
      <c r="AC90" s="103"/>
      <c r="AD90" s="103"/>
      <c r="AE90" s="34" t="s">
        <v>140</v>
      </c>
      <c r="AF90" s="104">
        <v>0</v>
      </c>
      <c r="AG90" s="105">
        <v>0</v>
      </c>
      <c r="AH90" s="106" t="s">
        <v>206</v>
      </c>
      <c r="AI90" s="104">
        <v>0</v>
      </c>
      <c r="AJ90" s="105">
        <v>0</v>
      </c>
      <c r="AK90" s="106" t="s">
        <v>206</v>
      </c>
      <c r="AL90" s="120">
        <v>3</v>
      </c>
      <c r="AO90" s="123">
        <v>0</v>
      </c>
      <c r="AP90" s="120"/>
      <c r="AQ90" s="120"/>
      <c r="AR90" s="120"/>
      <c r="AU90" s="120"/>
      <c r="AV90" s="120"/>
      <c r="AY90" s="125">
        <v>2</v>
      </c>
    </row>
    <row r="91" spans="3:51" ht="15.75">
      <c r="C91">
        <v>82</v>
      </c>
      <c r="D91" s="24">
        <v>71</v>
      </c>
      <c r="E91" s="33">
        <v>11.9</v>
      </c>
      <c r="F91" s="129"/>
      <c r="G91" s="129"/>
      <c r="I91" s="46">
        <v>0.54090909090909089</v>
      </c>
      <c r="L91" s="33">
        <v>1</v>
      </c>
      <c r="M91" s="48">
        <v>22</v>
      </c>
      <c r="N91" s="61">
        <v>4</v>
      </c>
      <c r="P91" s="24">
        <v>1</v>
      </c>
      <c r="Q91" s="34" t="s">
        <v>139</v>
      </c>
      <c r="W91" s="64">
        <v>0.57999999999999996</v>
      </c>
      <c r="X91" s="24">
        <v>10</v>
      </c>
      <c r="Y91" s="82">
        <v>2</v>
      </c>
      <c r="Z91" s="77">
        <v>0.56000000000000005</v>
      </c>
      <c r="AA91" s="78" t="s">
        <v>166</v>
      </c>
      <c r="AB91" s="102"/>
      <c r="AC91" s="102"/>
      <c r="AD91" s="102"/>
      <c r="AE91" s="34" t="s">
        <v>139</v>
      </c>
      <c r="AF91" s="104">
        <v>1</v>
      </c>
      <c r="AG91" s="115">
        <v>0.05</v>
      </c>
      <c r="AH91" s="104" t="s">
        <v>208</v>
      </c>
      <c r="AI91" s="104">
        <v>0</v>
      </c>
      <c r="AJ91" s="104">
        <v>0</v>
      </c>
      <c r="AK91" s="104" t="s">
        <v>207</v>
      </c>
      <c r="AL91" s="119">
        <v>2</v>
      </c>
      <c r="AO91" s="123">
        <v>1</v>
      </c>
      <c r="AP91" s="119"/>
      <c r="AQ91" s="119">
        <v>1</v>
      </c>
      <c r="AR91" s="119" t="s">
        <v>140</v>
      </c>
      <c r="AU91" s="119">
        <v>1</v>
      </c>
      <c r="AV91" s="119" t="s">
        <v>217</v>
      </c>
      <c r="AY91" s="125" t="s">
        <v>221</v>
      </c>
    </row>
    <row r="92" spans="3:51" ht="15.75">
      <c r="C92">
        <v>83</v>
      </c>
      <c r="D92" s="25">
        <v>66</v>
      </c>
      <c r="E92" s="37">
        <v>3.85</v>
      </c>
      <c r="F92" s="133"/>
      <c r="G92" s="133"/>
      <c r="I92" s="46">
        <v>7.4038461538461539E-2</v>
      </c>
      <c r="L92" s="36">
        <v>0</v>
      </c>
      <c r="M92" s="51">
        <v>52</v>
      </c>
      <c r="N92" s="63">
        <v>5</v>
      </c>
      <c r="P92" s="25">
        <v>1</v>
      </c>
      <c r="Q92" s="63" t="s">
        <v>139</v>
      </c>
      <c r="W92" s="65">
        <v>2.27</v>
      </c>
      <c r="X92" s="25"/>
      <c r="Y92" s="79">
        <v>4</v>
      </c>
      <c r="Z92" s="80">
        <v>0.61</v>
      </c>
      <c r="AA92" s="81" t="s">
        <v>163</v>
      </c>
      <c r="AB92" s="102"/>
      <c r="AC92" s="103"/>
      <c r="AD92" s="103"/>
      <c r="AE92" s="63" t="s">
        <v>139</v>
      </c>
      <c r="AF92" s="104">
        <v>0</v>
      </c>
      <c r="AG92" s="105">
        <v>0</v>
      </c>
      <c r="AH92" s="106" t="s">
        <v>204</v>
      </c>
      <c r="AI92" s="104">
        <v>0</v>
      </c>
      <c r="AJ92" s="105">
        <v>0</v>
      </c>
      <c r="AK92" s="106" t="s">
        <v>214</v>
      </c>
      <c r="AL92" s="120">
        <v>4</v>
      </c>
      <c r="AO92" s="123">
        <v>0</v>
      </c>
      <c r="AP92" s="120">
        <v>0</v>
      </c>
      <c r="AQ92" s="120">
        <v>0</v>
      </c>
      <c r="AR92" s="120"/>
      <c r="AU92" s="120">
        <v>0</v>
      </c>
      <c r="AV92" s="120"/>
      <c r="AY92" s="125">
        <v>2</v>
      </c>
    </row>
    <row r="93" spans="3:51" ht="15.75">
      <c r="C93">
        <v>84</v>
      </c>
      <c r="D93" s="25">
        <v>61</v>
      </c>
      <c r="E93" s="33">
        <v>8.9</v>
      </c>
      <c r="F93" s="129"/>
      <c r="G93" s="129"/>
      <c r="I93" s="46">
        <v>0.2870967741935484</v>
      </c>
      <c r="L93" s="33">
        <v>1</v>
      </c>
      <c r="M93" s="48">
        <v>31</v>
      </c>
      <c r="N93" s="61">
        <v>4</v>
      </c>
      <c r="P93" s="24">
        <v>0</v>
      </c>
      <c r="Q93" s="34" t="s">
        <v>140</v>
      </c>
      <c r="W93" s="65">
        <v>0.56999999999999995</v>
      </c>
      <c r="X93" s="25"/>
      <c r="Y93" s="82">
        <v>1</v>
      </c>
      <c r="Z93" s="80">
        <v>0.7</v>
      </c>
      <c r="AA93" s="81" t="s">
        <v>167</v>
      </c>
      <c r="AB93" s="102"/>
      <c r="AC93" s="103"/>
      <c r="AD93" s="103"/>
      <c r="AE93" s="34" t="s">
        <v>140</v>
      </c>
      <c r="AF93" s="104">
        <v>1</v>
      </c>
      <c r="AG93" s="105">
        <v>0.3</v>
      </c>
      <c r="AH93" s="106" t="s">
        <v>151</v>
      </c>
      <c r="AI93" s="104">
        <v>0</v>
      </c>
      <c r="AJ93" s="106">
        <v>0</v>
      </c>
      <c r="AK93" s="106" t="s">
        <v>203</v>
      </c>
      <c r="AL93" s="120">
        <v>2</v>
      </c>
      <c r="AO93" s="123">
        <v>0</v>
      </c>
      <c r="AP93" s="120"/>
      <c r="AQ93" s="120">
        <v>0</v>
      </c>
      <c r="AR93" s="120"/>
      <c r="AU93" s="120">
        <v>0</v>
      </c>
      <c r="AV93" s="120"/>
      <c r="AY93" s="125">
        <v>2</v>
      </c>
    </row>
    <row r="94" spans="3:51" ht="15.75">
      <c r="C94">
        <v>85</v>
      </c>
      <c r="D94" s="24">
        <v>63</v>
      </c>
      <c r="E94" s="36">
        <v>3.5</v>
      </c>
      <c r="F94" s="132"/>
      <c r="G94" s="132"/>
      <c r="I94" s="46">
        <v>5.3846153846153849E-2</v>
      </c>
      <c r="L94" s="36">
        <v>1</v>
      </c>
      <c r="M94" s="51">
        <v>65</v>
      </c>
      <c r="N94" s="63">
        <v>5</v>
      </c>
      <c r="P94" s="24">
        <v>0</v>
      </c>
      <c r="Q94" s="63" t="s">
        <v>139</v>
      </c>
      <c r="W94" s="64">
        <v>0.43</v>
      </c>
      <c r="X94" s="24"/>
      <c r="Y94" s="82">
        <v>1</v>
      </c>
      <c r="Z94" s="77">
        <v>0.2</v>
      </c>
      <c r="AA94" s="78" t="s">
        <v>168</v>
      </c>
      <c r="AB94" s="102"/>
      <c r="AC94" s="102"/>
      <c r="AD94" s="102"/>
      <c r="AE94" s="63" t="s">
        <v>139</v>
      </c>
      <c r="AF94" s="104">
        <v>0</v>
      </c>
      <c r="AG94" s="104">
        <v>0</v>
      </c>
      <c r="AH94" s="104" t="s">
        <v>201</v>
      </c>
      <c r="AI94" s="104">
        <v>1</v>
      </c>
      <c r="AJ94" s="115">
        <v>0.5</v>
      </c>
      <c r="AK94" s="104" t="s">
        <v>161</v>
      </c>
      <c r="AL94" s="119">
        <v>1</v>
      </c>
      <c r="AO94" s="123">
        <v>0</v>
      </c>
      <c r="AP94" s="119"/>
      <c r="AQ94" s="119">
        <v>0</v>
      </c>
      <c r="AR94" s="119"/>
      <c r="AU94" s="119">
        <v>0</v>
      </c>
      <c r="AV94" s="119"/>
      <c r="AY94" s="125">
        <v>2</v>
      </c>
    </row>
    <row r="95" spans="3:51" ht="15.75">
      <c r="C95">
        <v>86</v>
      </c>
      <c r="D95" s="24">
        <v>66</v>
      </c>
      <c r="E95" s="34">
        <v>11</v>
      </c>
      <c r="F95" s="130"/>
      <c r="G95" s="130"/>
      <c r="I95" s="46">
        <v>0.25</v>
      </c>
      <c r="L95" s="34">
        <v>1</v>
      </c>
      <c r="M95" s="49">
        <v>44</v>
      </c>
      <c r="N95" s="61">
        <v>4</v>
      </c>
      <c r="P95" s="24">
        <v>0</v>
      </c>
      <c r="Q95" s="34" t="s">
        <v>139</v>
      </c>
      <c r="W95" s="64">
        <v>0.8</v>
      </c>
      <c r="X95" s="24"/>
      <c r="Y95" s="79">
        <v>3</v>
      </c>
      <c r="Z95" s="77">
        <v>0.7</v>
      </c>
      <c r="AA95" s="78" t="s">
        <v>158</v>
      </c>
      <c r="AB95" s="102"/>
      <c r="AC95" s="102"/>
      <c r="AD95" s="102"/>
      <c r="AE95" s="34" t="s">
        <v>139</v>
      </c>
      <c r="AF95" s="104">
        <v>0</v>
      </c>
      <c r="AG95" s="115">
        <v>0</v>
      </c>
      <c r="AH95" s="104" t="s">
        <v>201</v>
      </c>
      <c r="AI95" s="104">
        <v>0</v>
      </c>
      <c r="AJ95" s="115">
        <v>0</v>
      </c>
      <c r="AK95" s="104" t="s">
        <v>203</v>
      </c>
      <c r="AL95" s="119">
        <v>3</v>
      </c>
      <c r="AO95" s="124">
        <v>1</v>
      </c>
      <c r="AP95" s="119">
        <v>0</v>
      </c>
      <c r="AQ95" s="119">
        <v>0</v>
      </c>
      <c r="AR95" s="119"/>
      <c r="AU95" s="119">
        <v>0</v>
      </c>
      <c r="AV95" s="119"/>
      <c r="AY95" s="126">
        <v>2</v>
      </c>
    </row>
    <row r="96" spans="3:51" ht="15.75">
      <c r="C96">
        <v>87</v>
      </c>
      <c r="D96" s="25">
        <v>68</v>
      </c>
      <c r="E96" s="33">
        <v>12</v>
      </c>
      <c r="F96" s="129"/>
      <c r="G96" s="129"/>
      <c r="I96" s="46">
        <v>0.23529411764705882</v>
      </c>
      <c r="L96" s="33">
        <v>0</v>
      </c>
      <c r="M96" s="48">
        <v>51</v>
      </c>
      <c r="N96" s="61">
        <v>5</v>
      </c>
      <c r="P96" s="24">
        <v>0</v>
      </c>
      <c r="Q96" s="34" t="s">
        <v>140</v>
      </c>
      <c r="W96" s="65">
        <v>1.82</v>
      </c>
      <c r="X96" s="25">
        <v>27</v>
      </c>
      <c r="Y96" s="79">
        <v>2</v>
      </c>
      <c r="Z96" s="80">
        <v>0.9</v>
      </c>
      <c r="AA96" s="81" t="s">
        <v>169</v>
      </c>
      <c r="AB96" s="102"/>
      <c r="AC96" s="103"/>
      <c r="AD96" s="103"/>
      <c r="AE96" s="34" t="s">
        <v>140</v>
      </c>
      <c r="AF96" s="104">
        <v>0</v>
      </c>
      <c r="AG96" s="105">
        <v>0</v>
      </c>
      <c r="AH96" s="106" t="s">
        <v>203</v>
      </c>
      <c r="AI96" s="104">
        <v>1</v>
      </c>
      <c r="AJ96" s="105">
        <v>0.75</v>
      </c>
      <c r="AK96" s="106" t="s">
        <v>176</v>
      </c>
      <c r="AL96" s="120">
        <v>1</v>
      </c>
      <c r="AO96" s="123">
        <v>1</v>
      </c>
      <c r="AP96" s="120"/>
      <c r="AQ96" s="120">
        <v>1</v>
      </c>
      <c r="AR96" s="120" t="s">
        <v>140</v>
      </c>
      <c r="AU96" s="120">
        <v>1</v>
      </c>
      <c r="AV96" s="120"/>
      <c r="AY96" s="125" t="s">
        <v>220</v>
      </c>
    </row>
    <row r="97" spans="3:51" ht="15.75">
      <c r="C97">
        <v>88</v>
      </c>
      <c r="D97" s="25">
        <v>72</v>
      </c>
      <c r="E97" s="33">
        <v>6.67</v>
      </c>
      <c r="F97" s="129"/>
      <c r="G97" s="129"/>
      <c r="I97" s="46">
        <v>0.18527777777777776</v>
      </c>
      <c r="L97" s="33">
        <v>1</v>
      </c>
      <c r="M97" s="48">
        <v>36</v>
      </c>
      <c r="N97" s="61">
        <v>4</v>
      </c>
      <c r="P97" s="24">
        <v>0</v>
      </c>
      <c r="Q97" s="34" t="s">
        <v>139</v>
      </c>
      <c r="W97" s="64">
        <v>0.28000000000000003</v>
      </c>
      <c r="X97" s="25"/>
      <c r="Y97" s="79">
        <v>1</v>
      </c>
      <c r="Z97" s="80">
        <v>0.25</v>
      </c>
      <c r="AA97" s="81" t="s">
        <v>170</v>
      </c>
      <c r="AB97" s="102"/>
      <c r="AC97" s="103"/>
      <c r="AD97" s="103"/>
      <c r="AE97" s="34" t="s">
        <v>139</v>
      </c>
      <c r="AF97" s="104">
        <v>0</v>
      </c>
      <c r="AG97" s="105">
        <v>0</v>
      </c>
      <c r="AH97" s="106" t="s">
        <v>201</v>
      </c>
      <c r="AI97" s="104">
        <v>1</v>
      </c>
      <c r="AJ97" s="105">
        <v>0.33</v>
      </c>
      <c r="AK97" s="106" t="s">
        <v>168</v>
      </c>
      <c r="AL97" s="120">
        <v>1</v>
      </c>
      <c r="AO97" s="123">
        <v>0</v>
      </c>
      <c r="AP97" s="120"/>
      <c r="AQ97" s="120">
        <v>0</v>
      </c>
      <c r="AR97" s="120"/>
      <c r="AU97" s="120">
        <v>0</v>
      </c>
      <c r="AV97" s="120"/>
      <c r="AY97" s="125">
        <v>2</v>
      </c>
    </row>
    <row r="98" spans="3:51" ht="15.75">
      <c r="C98">
        <v>89</v>
      </c>
      <c r="D98" s="25">
        <v>68</v>
      </c>
      <c r="E98" s="31">
        <v>4.5999999999999996</v>
      </c>
      <c r="F98" s="127"/>
      <c r="G98" s="127"/>
      <c r="I98" s="46">
        <v>0.13939393939393938</v>
      </c>
      <c r="L98" s="31">
        <v>0</v>
      </c>
      <c r="M98" s="52">
        <v>33</v>
      </c>
      <c r="N98" s="61">
        <v>5</v>
      </c>
      <c r="P98" s="24">
        <v>0</v>
      </c>
      <c r="Q98" s="72" t="s">
        <v>139</v>
      </c>
      <c r="W98" s="65">
        <v>8.19</v>
      </c>
      <c r="X98" s="25"/>
      <c r="Y98" s="86">
        <v>2</v>
      </c>
      <c r="Z98" s="87">
        <v>90</v>
      </c>
      <c r="AA98" s="81" t="s">
        <v>154</v>
      </c>
      <c r="AB98" s="102"/>
      <c r="AC98" s="102"/>
      <c r="AD98" s="102"/>
      <c r="AE98" s="72" t="s">
        <v>139</v>
      </c>
      <c r="AF98" s="104">
        <v>1</v>
      </c>
      <c r="AG98" s="106"/>
      <c r="AH98" s="106" t="s">
        <v>161</v>
      </c>
      <c r="AI98" s="104">
        <v>2</v>
      </c>
      <c r="AJ98" s="105">
        <v>0.4</v>
      </c>
      <c r="AK98" s="106" t="s">
        <v>151</v>
      </c>
      <c r="AL98" s="120">
        <v>2</v>
      </c>
      <c r="AO98" s="123">
        <v>1</v>
      </c>
      <c r="AP98" s="120">
        <v>0</v>
      </c>
      <c r="AQ98" s="120">
        <v>1</v>
      </c>
      <c r="AR98" s="120" t="s">
        <v>139</v>
      </c>
      <c r="AU98" s="120">
        <v>0</v>
      </c>
      <c r="AV98" s="120"/>
      <c r="AY98" s="123" t="s">
        <v>220</v>
      </c>
    </row>
    <row r="99" spans="3:51" ht="15.75">
      <c r="C99">
        <v>90</v>
      </c>
      <c r="D99" s="24">
        <v>65</v>
      </c>
      <c r="E99" s="37">
        <v>4.8499999999999996</v>
      </c>
      <c r="F99" s="133"/>
      <c r="G99" s="133"/>
      <c r="I99" s="46">
        <v>0.10104166666666665</v>
      </c>
      <c r="L99" s="36">
        <v>1</v>
      </c>
      <c r="M99" s="51">
        <v>48</v>
      </c>
      <c r="N99" s="63">
        <v>4</v>
      </c>
      <c r="P99" s="24">
        <v>0</v>
      </c>
      <c r="Q99" s="63" t="s">
        <v>139</v>
      </c>
      <c r="W99" s="64">
        <v>0.91</v>
      </c>
      <c r="X99" s="24"/>
      <c r="Y99" s="88">
        <v>2</v>
      </c>
      <c r="Z99" s="89">
        <v>50</v>
      </c>
      <c r="AA99" s="78" t="s">
        <v>158</v>
      </c>
      <c r="AB99" s="102"/>
      <c r="AC99" s="102"/>
      <c r="AD99" s="102"/>
      <c r="AE99" s="63" t="s">
        <v>139</v>
      </c>
      <c r="AF99" s="104">
        <v>0</v>
      </c>
      <c r="AG99" s="104">
        <v>0</v>
      </c>
      <c r="AH99" s="104" t="s">
        <v>201</v>
      </c>
      <c r="AI99" s="104">
        <v>1</v>
      </c>
      <c r="AJ99" s="104">
        <v>5</v>
      </c>
      <c r="AK99" s="104" t="s">
        <v>168</v>
      </c>
      <c r="AL99" s="119">
        <v>3</v>
      </c>
      <c r="AO99" s="123">
        <v>0</v>
      </c>
      <c r="AP99" s="119"/>
      <c r="AQ99" s="119">
        <v>0</v>
      </c>
      <c r="AR99" s="119"/>
      <c r="AU99" s="119">
        <v>0</v>
      </c>
      <c r="AV99" s="119"/>
      <c r="AY99" s="125">
        <v>2</v>
      </c>
    </row>
    <row r="100" spans="3:51" ht="15.75">
      <c r="C100">
        <v>91</v>
      </c>
      <c r="D100" s="25">
        <v>76</v>
      </c>
      <c r="E100" s="36">
        <v>6</v>
      </c>
      <c r="F100" s="132"/>
      <c r="G100" s="132"/>
      <c r="I100" s="46">
        <v>0.13986013986013987</v>
      </c>
      <c r="L100" s="36">
        <v>1</v>
      </c>
      <c r="M100" s="51">
        <v>42</v>
      </c>
      <c r="N100" s="63">
        <v>5</v>
      </c>
      <c r="P100" s="24">
        <v>0</v>
      </c>
      <c r="Q100" s="63" t="s">
        <v>139</v>
      </c>
      <c r="W100" s="65">
        <v>2.0499999999999998</v>
      </c>
      <c r="X100" s="25"/>
      <c r="Y100" s="88">
        <v>2</v>
      </c>
      <c r="Z100" s="80">
        <v>0.12</v>
      </c>
      <c r="AA100" s="81" t="s">
        <v>158</v>
      </c>
      <c r="AB100" s="102"/>
      <c r="AC100" s="103"/>
      <c r="AD100" s="103"/>
      <c r="AE100" s="63" t="s">
        <v>139</v>
      </c>
      <c r="AF100" s="104">
        <v>0</v>
      </c>
      <c r="AG100" s="106">
        <v>0</v>
      </c>
      <c r="AH100" s="106" t="s">
        <v>201</v>
      </c>
      <c r="AI100" s="104"/>
      <c r="AJ100" s="106"/>
      <c r="AK100" s="106"/>
      <c r="AL100" s="120">
        <v>3</v>
      </c>
      <c r="AO100" s="123">
        <v>1</v>
      </c>
      <c r="AP100" s="120"/>
      <c r="AQ100" s="120">
        <v>1</v>
      </c>
      <c r="AR100" s="120"/>
      <c r="AU100" s="120">
        <v>1</v>
      </c>
      <c r="AV100" s="120" t="s">
        <v>217</v>
      </c>
      <c r="AY100" s="125" t="s">
        <v>221</v>
      </c>
    </row>
    <row r="101" spans="3:51" ht="15.75">
      <c r="C101">
        <v>92</v>
      </c>
      <c r="D101" s="25">
        <v>71</v>
      </c>
      <c r="E101" s="33">
        <v>8.9</v>
      </c>
      <c r="F101" s="129"/>
      <c r="G101" s="129"/>
      <c r="I101" s="46">
        <v>0.32962962962962966</v>
      </c>
      <c r="L101" s="33">
        <v>0</v>
      </c>
      <c r="M101" s="48">
        <v>27</v>
      </c>
      <c r="N101" s="61">
        <v>4</v>
      </c>
      <c r="P101" s="24">
        <v>0</v>
      </c>
      <c r="Q101" s="34" t="s">
        <v>139</v>
      </c>
      <c r="W101" s="65">
        <v>0.69</v>
      </c>
      <c r="X101" s="25"/>
      <c r="Y101" s="82">
        <v>1</v>
      </c>
      <c r="Z101" s="80">
        <v>0.6</v>
      </c>
      <c r="AA101" s="81" t="s">
        <v>171</v>
      </c>
      <c r="AB101" s="102"/>
      <c r="AC101" s="103"/>
      <c r="AD101" s="103"/>
      <c r="AE101" s="34" t="s">
        <v>139</v>
      </c>
      <c r="AF101" s="104">
        <v>0</v>
      </c>
      <c r="AG101" s="106">
        <v>0</v>
      </c>
      <c r="AH101" s="106" t="s">
        <v>203</v>
      </c>
      <c r="AI101" s="104">
        <v>0</v>
      </c>
      <c r="AJ101" s="106">
        <v>0</v>
      </c>
      <c r="AK101" s="106" t="s">
        <v>203</v>
      </c>
      <c r="AL101" s="120">
        <v>2</v>
      </c>
      <c r="AO101" s="123">
        <v>0</v>
      </c>
      <c r="AP101" s="120"/>
      <c r="AQ101" s="120">
        <v>0</v>
      </c>
      <c r="AR101" s="120"/>
      <c r="AU101" s="120">
        <v>0</v>
      </c>
      <c r="AV101" s="120"/>
      <c r="AY101" s="125">
        <v>2</v>
      </c>
    </row>
    <row r="102" spans="3:51" ht="15.75">
      <c r="C102">
        <v>93</v>
      </c>
      <c r="D102" s="25">
        <v>50</v>
      </c>
      <c r="E102" s="33">
        <v>6</v>
      </c>
      <c r="F102" s="129"/>
      <c r="G102" s="129"/>
      <c r="I102" s="46">
        <v>0.2608695652173913</v>
      </c>
      <c r="L102" s="33">
        <v>0</v>
      </c>
      <c r="M102" s="48">
        <v>23</v>
      </c>
      <c r="N102" s="61">
        <v>5</v>
      </c>
      <c r="P102" s="24">
        <v>0</v>
      </c>
      <c r="Q102" s="34" t="s">
        <v>139</v>
      </c>
      <c r="W102" s="65">
        <v>0.7</v>
      </c>
      <c r="X102" s="25"/>
      <c r="Y102" s="82">
        <v>4</v>
      </c>
      <c r="Z102" s="80">
        <v>1</v>
      </c>
      <c r="AA102" s="81" t="s">
        <v>169</v>
      </c>
      <c r="AB102" s="102"/>
      <c r="AC102" s="103"/>
      <c r="AD102" s="103"/>
      <c r="AE102" s="34" t="s">
        <v>139</v>
      </c>
      <c r="AF102" s="104"/>
      <c r="AG102" s="106"/>
      <c r="AH102" s="106"/>
      <c r="AI102" s="104">
        <v>4</v>
      </c>
      <c r="AJ102" s="106"/>
      <c r="AK102" s="106" t="s">
        <v>212</v>
      </c>
      <c r="AL102" s="120">
        <v>5</v>
      </c>
      <c r="AO102" s="123">
        <v>0</v>
      </c>
      <c r="AP102" s="120">
        <v>0</v>
      </c>
      <c r="AQ102" s="120">
        <v>1</v>
      </c>
      <c r="AR102" s="120" t="s">
        <v>217</v>
      </c>
      <c r="AU102" s="120">
        <v>0</v>
      </c>
      <c r="AV102" s="120"/>
      <c r="AY102" s="125" t="s">
        <v>220</v>
      </c>
    </row>
    <row r="103" spans="3:51" ht="15.75">
      <c r="C103">
        <v>94</v>
      </c>
      <c r="D103" s="25">
        <v>63</v>
      </c>
      <c r="E103" s="33">
        <v>14</v>
      </c>
      <c r="F103" s="129"/>
      <c r="G103" s="129"/>
      <c r="I103" s="46">
        <v>0.34146341463414637</v>
      </c>
      <c r="L103" s="33">
        <v>1</v>
      </c>
      <c r="M103" s="48">
        <v>41</v>
      </c>
      <c r="N103" s="61">
        <v>5</v>
      </c>
      <c r="P103" s="24">
        <v>0</v>
      </c>
      <c r="Q103" s="34" t="s">
        <v>139</v>
      </c>
      <c r="W103" s="65">
        <v>2.4900000000000002</v>
      </c>
      <c r="X103" s="25"/>
      <c r="Y103" s="79">
        <v>1</v>
      </c>
      <c r="Z103" s="80">
        <v>0.6</v>
      </c>
      <c r="AA103" s="81" t="s">
        <v>169</v>
      </c>
      <c r="AB103" s="102"/>
      <c r="AC103" s="103"/>
      <c r="AD103" s="103"/>
      <c r="AE103" s="34" t="s">
        <v>139</v>
      </c>
      <c r="AF103" s="104">
        <v>1</v>
      </c>
      <c r="AG103" s="105">
        <v>0.06</v>
      </c>
      <c r="AH103" s="106" t="s">
        <v>151</v>
      </c>
      <c r="AI103" s="104"/>
      <c r="AJ103" s="106"/>
      <c r="AK103" s="106"/>
      <c r="AL103" s="120">
        <v>2</v>
      </c>
      <c r="AO103" s="123">
        <v>1</v>
      </c>
      <c r="AP103" s="120"/>
      <c r="AQ103" s="120">
        <v>1</v>
      </c>
      <c r="AR103" s="120" t="s">
        <v>139</v>
      </c>
      <c r="AU103" s="120">
        <v>1</v>
      </c>
      <c r="AV103" s="120" t="s">
        <v>139</v>
      </c>
      <c r="AY103" s="125" t="s">
        <v>220</v>
      </c>
    </row>
    <row r="104" spans="3:51" ht="15.75">
      <c r="C104">
        <v>95</v>
      </c>
      <c r="D104" s="24">
        <v>67</v>
      </c>
      <c r="E104" s="34">
        <v>18</v>
      </c>
      <c r="F104" s="130"/>
      <c r="G104" s="130"/>
      <c r="I104" s="46">
        <v>0.3</v>
      </c>
      <c r="L104" s="34">
        <v>0</v>
      </c>
      <c r="M104" s="49">
        <v>60</v>
      </c>
      <c r="N104" s="61">
        <v>5</v>
      </c>
      <c r="P104" s="24">
        <v>0</v>
      </c>
      <c r="Q104" s="34" t="s">
        <v>139</v>
      </c>
      <c r="W104" s="64">
        <v>0.12</v>
      </c>
      <c r="X104" s="24"/>
      <c r="Y104" s="79">
        <v>0</v>
      </c>
      <c r="Z104" s="78" t="s">
        <v>172</v>
      </c>
      <c r="AA104" s="78" t="s">
        <v>172</v>
      </c>
      <c r="AB104" s="102"/>
      <c r="AC104" s="102"/>
      <c r="AD104" s="102"/>
      <c r="AE104" s="34" t="s">
        <v>139</v>
      </c>
      <c r="AF104" s="104">
        <v>1</v>
      </c>
      <c r="AG104" s="115">
        <v>0.25</v>
      </c>
      <c r="AH104" s="104" t="s">
        <v>161</v>
      </c>
      <c r="AI104" s="104">
        <v>1</v>
      </c>
      <c r="AJ104" s="115">
        <v>0.24</v>
      </c>
      <c r="AK104" s="104" t="s">
        <v>213</v>
      </c>
      <c r="AL104" s="119">
        <v>1</v>
      </c>
      <c r="AO104" s="124">
        <v>0</v>
      </c>
      <c r="AP104" s="119"/>
      <c r="AQ104" s="119">
        <v>1</v>
      </c>
      <c r="AR104" s="119" t="s">
        <v>140</v>
      </c>
      <c r="AU104" s="119">
        <v>0</v>
      </c>
      <c r="AV104" s="119"/>
      <c r="AY104" s="126">
        <v>2</v>
      </c>
    </row>
    <row r="105" spans="3:51" ht="15.75">
      <c r="C105">
        <v>96</v>
      </c>
      <c r="D105" s="25">
        <v>72</v>
      </c>
      <c r="E105" s="33">
        <v>18</v>
      </c>
      <c r="F105" s="129"/>
      <c r="G105" s="129"/>
      <c r="I105" s="46">
        <v>0.58064516129032262</v>
      </c>
      <c r="L105" s="33">
        <v>0</v>
      </c>
      <c r="M105" s="48">
        <v>31</v>
      </c>
      <c r="N105" s="61">
        <v>4</v>
      </c>
      <c r="P105" s="24">
        <v>0</v>
      </c>
      <c r="Q105" s="34" t="s">
        <v>139</v>
      </c>
      <c r="W105" s="64">
        <v>0.77</v>
      </c>
      <c r="X105" s="25">
        <v>14</v>
      </c>
      <c r="Y105" s="79">
        <v>2</v>
      </c>
      <c r="Z105" s="80">
        <v>0.75</v>
      </c>
      <c r="AA105" s="81" t="s">
        <v>173</v>
      </c>
      <c r="AB105" s="102"/>
      <c r="AC105" s="103"/>
      <c r="AD105" s="103"/>
      <c r="AE105" s="34" t="s">
        <v>139</v>
      </c>
      <c r="AF105" s="104">
        <v>0</v>
      </c>
      <c r="AG105" s="106">
        <v>0</v>
      </c>
      <c r="AH105" s="106" t="s">
        <v>203</v>
      </c>
      <c r="AI105" s="104">
        <v>1</v>
      </c>
      <c r="AJ105" s="105"/>
      <c r="AK105" s="106"/>
      <c r="AL105" s="120">
        <v>3</v>
      </c>
      <c r="AO105" s="123">
        <v>0</v>
      </c>
      <c r="AP105" s="120"/>
      <c r="AQ105" s="120">
        <v>1</v>
      </c>
      <c r="AR105" s="120" t="s">
        <v>139</v>
      </c>
      <c r="AU105" s="120">
        <v>0</v>
      </c>
      <c r="AV105" s="120"/>
      <c r="AY105" s="125" t="s">
        <v>220</v>
      </c>
    </row>
    <row r="106" spans="3:51" ht="15.75">
      <c r="C106">
        <v>97</v>
      </c>
      <c r="D106" s="25">
        <v>76</v>
      </c>
      <c r="E106" s="33">
        <v>8</v>
      </c>
      <c r="F106" s="129"/>
      <c r="G106" s="129"/>
      <c r="I106" s="46">
        <v>0.17777777777777778</v>
      </c>
      <c r="L106" s="33">
        <v>1</v>
      </c>
      <c r="M106" s="48">
        <v>45</v>
      </c>
      <c r="N106" s="61">
        <v>5</v>
      </c>
      <c r="P106" s="24">
        <v>0</v>
      </c>
      <c r="Q106" s="34" t="s">
        <v>140</v>
      </c>
      <c r="W106" s="65">
        <v>2.23</v>
      </c>
      <c r="X106" s="25"/>
      <c r="Y106" s="82">
        <v>1</v>
      </c>
      <c r="Z106" s="80">
        <v>0.2</v>
      </c>
      <c r="AA106" s="81" t="s">
        <v>174</v>
      </c>
      <c r="AB106" s="102"/>
      <c r="AC106" s="103"/>
      <c r="AD106" s="103"/>
      <c r="AE106" s="34" t="s">
        <v>140</v>
      </c>
      <c r="AF106" s="104">
        <v>1</v>
      </c>
      <c r="AG106" s="105">
        <v>0.05</v>
      </c>
      <c r="AH106" s="106" t="s">
        <v>168</v>
      </c>
      <c r="AI106" s="104">
        <v>0</v>
      </c>
      <c r="AJ106" s="106">
        <v>0</v>
      </c>
      <c r="AK106" s="106" t="s">
        <v>203</v>
      </c>
      <c r="AL106" s="120">
        <v>2</v>
      </c>
      <c r="AO106" s="123">
        <v>0</v>
      </c>
      <c r="AP106" s="120">
        <v>0</v>
      </c>
      <c r="AQ106" s="120">
        <v>0</v>
      </c>
      <c r="AR106" s="120"/>
      <c r="AU106" s="120">
        <v>0</v>
      </c>
      <c r="AV106" s="120"/>
      <c r="AY106" s="125">
        <v>2</v>
      </c>
    </row>
    <row r="107" spans="3:51" ht="15.75">
      <c r="C107">
        <v>98</v>
      </c>
      <c r="D107" s="25">
        <v>69</v>
      </c>
      <c r="E107" s="36">
        <v>7.9</v>
      </c>
      <c r="F107" s="132"/>
      <c r="G107" s="132"/>
      <c r="I107" s="46">
        <v>7.2080291970802929E-2</v>
      </c>
      <c r="L107" s="36">
        <v>1</v>
      </c>
      <c r="M107" s="51">
        <v>109</v>
      </c>
      <c r="N107" s="63">
        <v>3</v>
      </c>
      <c r="P107" s="24">
        <v>0</v>
      </c>
      <c r="Q107" s="63" t="s">
        <v>139</v>
      </c>
      <c r="W107" s="65">
        <v>0.7</v>
      </c>
      <c r="X107" s="25"/>
      <c r="Y107" s="79">
        <v>1</v>
      </c>
      <c r="Z107" s="80">
        <v>0.38</v>
      </c>
      <c r="AA107" s="81" t="s">
        <v>154</v>
      </c>
      <c r="AB107" s="102"/>
      <c r="AC107" s="103"/>
      <c r="AD107" s="103"/>
      <c r="AE107" s="63" t="s">
        <v>139</v>
      </c>
      <c r="AF107" s="104">
        <v>0</v>
      </c>
      <c r="AG107" s="106">
        <v>0</v>
      </c>
      <c r="AH107" s="106" t="s">
        <v>203</v>
      </c>
      <c r="AI107" s="104">
        <v>0</v>
      </c>
      <c r="AJ107" s="106">
        <v>0</v>
      </c>
      <c r="AK107" s="106" t="s">
        <v>201</v>
      </c>
      <c r="AL107" s="120">
        <v>1</v>
      </c>
      <c r="AO107" s="123">
        <v>0</v>
      </c>
      <c r="AP107" s="120"/>
      <c r="AQ107" s="120">
        <v>0</v>
      </c>
      <c r="AR107" s="120"/>
      <c r="AU107" s="120">
        <v>0</v>
      </c>
      <c r="AV107" s="120"/>
      <c r="AY107" s="125">
        <v>2</v>
      </c>
    </row>
    <row r="108" spans="3:51" ht="15.75">
      <c r="C108">
        <v>99</v>
      </c>
      <c r="D108" s="25">
        <v>70</v>
      </c>
      <c r="E108" s="33">
        <v>7.5</v>
      </c>
      <c r="F108" s="129"/>
      <c r="G108" s="129"/>
      <c r="I108" s="46">
        <v>0.15</v>
      </c>
      <c r="L108" s="33">
        <v>0</v>
      </c>
      <c r="M108" s="48">
        <v>50</v>
      </c>
      <c r="N108" s="61">
        <v>4</v>
      </c>
      <c r="P108" s="24">
        <v>0</v>
      </c>
      <c r="Q108" s="34" t="s">
        <v>139</v>
      </c>
      <c r="W108" s="65">
        <v>0.38</v>
      </c>
      <c r="X108" s="25"/>
      <c r="Y108" s="79">
        <v>1</v>
      </c>
      <c r="Z108" s="80">
        <v>0.14000000000000001</v>
      </c>
      <c r="AA108" s="81" t="s">
        <v>175</v>
      </c>
      <c r="AB108" s="104">
        <v>4</v>
      </c>
      <c r="AC108" s="105">
        <v>0.5</v>
      </c>
      <c r="AD108" s="106" t="s">
        <v>161</v>
      </c>
      <c r="AE108" s="34" t="s">
        <v>139</v>
      </c>
      <c r="AF108" s="104">
        <v>0</v>
      </c>
      <c r="AG108" s="106">
        <v>0</v>
      </c>
      <c r="AH108" s="106" t="s">
        <v>203</v>
      </c>
      <c r="AI108" s="26"/>
      <c r="AJ108" s="26"/>
      <c r="AK108" s="26"/>
      <c r="AL108" s="120">
        <v>2</v>
      </c>
      <c r="AO108" s="123">
        <v>0</v>
      </c>
      <c r="AP108" s="120">
        <v>0</v>
      </c>
      <c r="AQ108" s="120">
        <v>0</v>
      </c>
      <c r="AR108" s="120"/>
      <c r="AU108" s="120">
        <v>0</v>
      </c>
      <c r="AV108" s="120"/>
      <c r="AY108" s="125">
        <v>2</v>
      </c>
    </row>
    <row r="109" spans="3:51" ht="15.75">
      <c r="C109">
        <v>100</v>
      </c>
      <c r="D109" s="24">
        <v>74</v>
      </c>
      <c r="E109" s="37">
        <v>7.2</v>
      </c>
      <c r="F109" s="133"/>
      <c r="G109" s="133"/>
      <c r="I109" s="46">
        <v>0.12000000000000001</v>
      </c>
      <c r="L109" s="36">
        <v>1</v>
      </c>
      <c r="M109" s="51">
        <v>60</v>
      </c>
      <c r="N109" s="63">
        <v>4</v>
      </c>
      <c r="P109" s="24">
        <v>0</v>
      </c>
      <c r="Q109" s="63" t="s">
        <v>140</v>
      </c>
      <c r="W109" s="64">
        <v>0.83</v>
      </c>
      <c r="X109" s="24">
        <v>8</v>
      </c>
      <c r="Y109" s="82">
        <v>1</v>
      </c>
      <c r="Z109" s="77">
        <v>0.5</v>
      </c>
      <c r="AA109" s="78" t="s">
        <v>168</v>
      </c>
      <c r="AB109" s="102"/>
      <c r="AC109" s="102"/>
      <c r="AD109" s="102"/>
      <c r="AE109" s="63" t="s">
        <v>140</v>
      </c>
      <c r="AF109" s="104">
        <v>1</v>
      </c>
      <c r="AG109" s="115">
        <v>0.5</v>
      </c>
      <c r="AH109" s="104" t="s">
        <v>168</v>
      </c>
      <c r="AI109" s="104">
        <v>0</v>
      </c>
      <c r="AJ109" s="104">
        <v>0</v>
      </c>
      <c r="AK109" s="104" t="s">
        <v>203</v>
      </c>
      <c r="AL109" s="119">
        <v>1</v>
      </c>
      <c r="AO109" s="123">
        <v>0</v>
      </c>
      <c r="AP109" s="119"/>
      <c r="AQ109" s="119">
        <v>0</v>
      </c>
      <c r="AR109" s="119"/>
      <c r="AU109" s="119">
        <v>0</v>
      </c>
      <c r="AV109" s="119"/>
      <c r="AY109" s="125">
        <v>2</v>
      </c>
    </row>
    <row r="110" spans="3:51" ht="15.75">
      <c r="C110">
        <v>101</v>
      </c>
      <c r="D110" s="25">
        <v>50</v>
      </c>
      <c r="E110" s="32">
        <v>6.8</v>
      </c>
      <c r="F110" s="128"/>
      <c r="G110" s="128"/>
      <c r="I110" s="46">
        <v>0.16190476190476191</v>
      </c>
      <c r="L110" s="33">
        <v>0</v>
      </c>
      <c r="M110" s="48">
        <v>42</v>
      </c>
      <c r="N110" s="61">
        <v>5</v>
      </c>
      <c r="P110" s="24">
        <v>0</v>
      </c>
      <c r="Q110" s="34" t="s">
        <v>139</v>
      </c>
      <c r="W110" s="65">
        <v>0</v>
      </c>
      <c r="X110" s="25"/>
      <c r="Y110" s="82">
        <v>2</v>
      </c>
      <c r="Z110" s="81"/>
      <c r="AA110" s="81" t="s">
        <v>176</v>
      </c>
      <c r="AB110" s="102"/>
      <c r="AC110" s="103"/>
      <c r="AD110" s="103"/>
      <c r="AE110" s="34" t="s">
        <v>139</v>
      </c>
      <c r="AF110" s="104">
        <v>1</v>
      </c>
      <c r="AG110" s="106"/>
      <c r="AH110" s="106" t="s">
        <v>155</v>
      </c>
      <c r="AI110" s="104">
        <v>1</v>
      </c>
      <c r="AJ110" s="106"/>
      <c r="AK110" s="106" t="s">
        <v>215</v>
      </c>
      <c r="AL110" s="120">
        <v>2</v>
      </c>
      <c r="AO110" s="123">
        <v>0</v>
      </c>
      <c r="AP110" s="120"/>
      <c r="AQ110" s="120">
        <v>0</v>
      </c>
      <c r="AR110" s="120"/>
      <c r="AU110" s="120">
        <v>0</v>
      </c>
      <c r="AV110" s="120"/>
      <c r="AY110" s="125">
        <v>2</v>
      </c>
    </row>
    <row r="111" spans="3:51">
      <c r="C111">
        <v>102</v>
      </c>
      <c r="D111" s="26">
        <v>82</v>
      </c>
      <c r="E111" s="26">
        <v>4.6500000000000004</v>
      </c>
      <c r="F111" s="71"/>
      <c r="G111" s="71"/>
      <c r="I111" s="46">
        <v>0.155</v>
      </c>
      <c r="L111" s="26">
        <v>0</v>
      </c>
      <c r="M111" s="53">
        <v>30</v>
      </c>
      <c r="N111" s="26">
        <v>4</v>
      </c>
      <c r="P111" s="24">
        <v>0</v>
      </c>
      <c r="Q111" s="26" t="s">
        <v>141</v>
      </c>
      <c r="W111" s="45">
        <v>0.37</v>
      </c>
      <c r="X111" s="26"/>
      <c r="Y111" s="26">
        <v>2</v>
      </c>
      <c r="Z111" s="26">
        <v>31</v>
      </c>
      <c r="AA111" s="26" t="s">
        <v>49</v>
      </c>
      <c r="AB111" s="26"/>
      <c r="AC111" s="26"/>
      <c r="AD111" s="26"/>
      <c r="AE111" s="26" t="s">
        <v>141</v>
      </c>
      <c r="AF111" s="26">
        <v>2</v>
      </c>
      <c r="AG111" s="26">
        <v>19</v>
      </c>
      <c r="AH111" s="26" t="s">
        <v>177</v>
      </c>
      <c r="AI111" s="26">
        <v>0</v>
      </c>
      <c r="AJ111" s="26">
        <v>0</v>
      </c>
      <c r="AK111" s="26">
        <v>0</v>
      </c>
      <c r="AL111" s="26">
        <v>1</v>
      </c>
      <c r="AO111" s="26">
        <v>0</v>
      </c>
      <c r="AP111" s="26">
        <v>0</v>
      </c>
      <c r="AQ111" s="26">
        <v>1</v>
      </c>
      <c r="AR111" s="26"/>
      <c r="AU111" s="121">
        <v>1</v>
      </c>
      <c r="AV111" s="121"/>
      <c r="AY111" s="26" t="s">
        <v>221</v>
      </c>
    </row>
    <row r="112" spans="3:51">
      <c r="C112">
        <v>103</v>
      </c>
      <c r="D112" s="26">
        <v>57</v>
      </c>
      <c r="E112" s="26">
        <v>9.8000000000000007</v>
      </c>
      <c r="F112" s="71"/>
      <c r="G112" s="71"/>
      <c r="I112" s="46">
        <v>0.21304347826086958</v>
      </c>
      <c r="L112" s="26">
        <v>0</v>
      </c>
      <c r="M112" s="53">
        <v>46</v>
      </c>
      <c r="N112" s="26">
        <v>3</v>
      </c>
      <c r="P112" s="24">
        <v>0</v>
      </c>
      <c r="Q112" s="26" t="s">
        <v>142</v>
      </c>
      <c r="W112" s="45">
        <v>1.02</v>
      </c>
      <c r="X112" s="26"/>
      <c r="Y112" s="26">
        <v>3</v>
      </c>
      <c r="Z112" s="26">
        <v>25</v>
      </c>
      <c r="AA112" s="26" t="s">
        <v>55</v>
      </c>
      <c r="AB112" s="26"/>
      <c r="AC112" s="26"/>
      <c r="AD112" s="26"/>
      <c r="AE112" s="26" t="s">
        <v>142</v>
      </c>
      <c r="AF112" s="26"/>
      <c r="AG112" s="26"/>
      <c r="AH112" s="26"/>
      <c r="AI112" s="26"/>
      <c r="AJ112" s="26"/>
      <c r="AK112" s="26"/>
      <c r="AL112" s="26">
        <v>3</v>
      </c>
      <c r="AO112" s="26">
        <v>0</v>
      </c>
      <c r="AP112" s="26">
        <v>0</v>
      </c>
      <c r="AQ112" s="26">
        <v>0</v>
      </c>
      <c r="AR112" s="26"/>
      <c r="AU112" s="121"/>
      <c r="AV112" s="121"/>
      <c r="AY112" s="26">
        <v>2</v>
      </c>
    </row>
    <row r="113" spans="3:51">
      <c r="C113">
        <v>104</v>
      </c>
      <c r="D113" s="27">
        <v>74</v>
      </c>
      <c r="E113" s="27">
        <v>22.5</v>
      </c>
      <c r="I113" s="46">
        <v>0.72580645161290325</v>
      </c>
      <c r="L113" s="27">
        <v>1</v>
      </c>
      <c r="M113" s="54">
        <v>31</v>
      </c>
      <c r="N113" s="27">
        <v>3</v>
      </c>
      <c r="P113" s="24">
        <v>0</v>
      </c>
      <c r="Q113" s="27" t="s">
        <v>143</v>
      </c>
      <c r="W113" s="66">
        <v>0.75</v>
      </c>
      <c r="X113" s="26"/>
      <c r="Y113" s="27">
        <v>3</v>
      </c>
      <c r="Z113" s="27">
        <v>30</v>
      </c>
      <c r="AA113" s="27" t="s">
        <v>65</v>
      </c>
      <c r="AB113" s="27"/>
      <c r="AC113" s="27"/>
      <c r="AD113" s="27"/>
      <c r="AE113" s="27" t="s">
        <v>143</v>
      </c>
      <c r="AF113" s="27"/>
      <c r="AG113" s="27"/>
      <c r="AH113" s="27"/>
      <c r="AI113" s="27"/>
      <c r="AJ113" s="27"/>
      <c r="AK113" s="27"/>
      <c r="AL113" s="27">
        <v>4</v>
      </c>
      <c r="AO113" s="27">
        <v>0</v>
      </c>
      <c r="AP113" s="27">
        <v>0</v>
      </c>
      <c r="AQ113" s="27">
        <v>0</v>
      </c>
      <c r="AR113" s="27"/>
      <c r="AU113" s="121"/>
      <c r="AV113" s="121"/>
      <c r="AY113" s="27">
        <v>2</v>
      </c>
    </row>
    <row r="114" spans="3:51">
      <c r="C114">
        <v>105</v>
      </c>
      <c r="D114" s="26">
        <v>52</v>
      </c>
      <c r="E114" s="26">
        <v>4.34</v>
      </c>
      <c r="F114" s="71"/>
      <c r="G114" s="71"/>
      <c r="I114" s="46">
        <v>0.10093023255813953</v>
      </c>
      <c r="L114" s="26">
        <v>0</v>
      </c>
      <c r="M114" s="53">
        <v>43</v>
      </c>
      <c r="N114" s="26">
        <v>4</v>
      </c>
      <c r="P114" s="24">
        <v>0</v>
      </c>
      <c r="Q114" s="26" t="s">
        <v>143</v>
      </c>
      <c r="W114" s="45">
        <v>0.78</v>
      </c>
      <c r="X114" s="26"/>
      <c r="Y114" s="26">
        <v>2</v>
      </c>
      <c r="Z114" s="26">
        <v>50</v>
      </c>
      <c r="AA114" s="26" t="s">
        <v>86</v>
      </c>
      <c r="AB114" s="26"/>
      <c r="AC114" s="26"/>
      <c r="AD114" s="26"/>
      <c r="AE114" s="26" t="s">
        <v>143</v>
      </c>
      <c r="AF114" s="26"/>
      <c r="AG114" s="26"/>
      <c r="AH114" s="26"/>
      <c r="AI114" s="26"/>
      <c r="AJ114" s="26"/>
      <c r="AK114" s="26"/>
      <c r="AL114" s="26">
        <v>2</v>
      </c>
      <c r="AO114" s="26">
        <v>0</v>
      </c>
      <c r="AP114" s="26">
        <v>0</v>
      </c>
      <c r="AQ114" s="26">
        <v>0</v>
      </c>
      <c r="AR114" s="26"/>
      <c r="AU114" s="121"/>
      <c r="AV114" s="121"/>
      <c r="AY114" s="26">
        <v>2</v>
      </c>
    </row>
    <row r="115" spans="3:51">
      <c r="C115">
        <v>106</v>
      </c>
      <c r="D115" s="26">
        <v>67</v>
      </c>
      <c r="E115" s="26">
        <v>6.2</v>
      </c>
      <c r="F115" s="71"/>
      <c r="G115" s="71"/>
      <c r="I115" s="46">
        <v>0.14418604651162792</v>
      </c>
      <c r="L115" s="26">
        <v>0</v>
      </c>
      <c r="M115" s="53">
        <v>43</v>
      </c>
      <c r="N115" s="26">
        <v>4</v>
      </c>
      <c r="P115" s="24">
        <v>0</v>
      </c>
      <c r="Q115" s="26" t="s">
        <v>143</v>
      </c>
      <c r="W115" s="45">
        <v>0.26</v>
      </c>
      <c r="X115" s="26"/>
      <c r="Y115" s="26">
        <v>2</v>
      </c>
      <c r="Z115" s="26">
        <v>40</v>
      </c>
      <c r="AA115" s="26" t="s">
        <v>86</v>
      </c>
      <c r="AB115" s="26"/>
      <c r="AC115" s="26"/>
      <c r="AD115" s="26"/>
      <c r="AE115" s="26" t="s">
        <v>143</v>
      </c>
      <c r="AF115" s="26">
        <v>1</v>
      </c>
      <c r="AG115" s="26">
        <v>10</v>
      </c>
      <c r="AH115" s="26" t="s">
        <v>86</v>
      </c>
      <c r="AI115" s="26">
        <v>0</v>
      </c>
      <c r="AJ115" s="26"/>
      <c r="AK115" s="26"/>
      <c r="AL115" s="26">
        <v>2</v>
      </c>
      <c r="AO115" s="26">
        <v>1</v>
      </c>
      <c r="AP115" s="26">
        <v>0</v>
      </c>
      <c r="AQ115" s="26">
        <v>0</v>
      </c>
      <c r="AR115" s="26"/>
      <c r="AU115" s="121"/>
      <c r="AV115" s="121"/>
      <c r="AY115" s="26">
        <v>2</v>
      </c>
    </row>
    <row r="116" spans="3:51">
      <c r="C116">
        <v>107</v>
      </c>
      <c r="D116" s="26">
        <v>51</v>
      </c>
      <c r="E116" s="26">
        <v>6.36</v>
      </c>
      <c r="F116" s="71"/>
      <c r="G116" s="71"/>
      <c r="I116" s="46">
        <v>0.25440000000000002</v>
      </c>
      <c r="L116" s="26">
        <v>0</v>
      </c>
      <c r="M116" s="53">
        <v>25</v>
      </c>
      <c r="N116" s="26">
        <v>4</v>
      </c>
      <c r="P116" s="24">
        <v>0</v>
      </c>
      <c r="Q116" s="26" t="s">
        <v>143</v>
      </c>
      <c r="W116" s="45">
        <v>0.17</v>
      </c>
      <c r="X116" s="26"/>
      <c r="Y116" s="26">
        <v>2</v>
      </c>
      <c r="Z116" s="26">
        <v>30</v>
      </c>
      <c r="AA116" s="26" t="s">
        <v>177</v>
      </c>
      <c r="AB116" s="26"/>
      <c r="AC116" s="26"/>
      <c r="AD116" s="26"/>
      <c r="AE116" s="26" t="s">
        <v>143</v>
      </c>
      <c r="AF116" s="26"/>
      <c r="AG116" s="26"/>
      <c r="AH116" s="26"/>
      <c r="AI116" s="26"/>
      <c r="AJ116" s="26"/>
      <c r="AK116" s="26"/>
      <c r="AL116" s="26">
        <v>1</v>
      </c>
      <c r="AO116" s="26">
        <v>0</v>
      </c>
      <c r="AP116" s="26">
        <v>0</v>
      </c>
      <c r="AQ116" s="26">
        <v>0</v>
      </c>
      <c r="AR116" s="26"/>
      <c r="AU116" s="121"/>
      <c r="AV116" s="121"/>
      <c r="AY116" s="26">
        <v>2</v>
      </c>
    </row>
    <row r="117" spans="3:51">
      <c r="C117">
        <v>108</v>
      </c>
      <c r="D117" s="26">
        <v>63</v>
      </c>
      <c r="E117" s="26">
        <v>3.4</v>
      </c>
      <c r="F117" s="71"/>
      <c r="G117" s="71"/>
      <c r="I117" s="46">
        <v>0.14225941422594143</v>
      </c>
      <c r="L117" s="26">
        <v>1</v>
      </c>
      <c r="M117" s="53">
        <v>23</v>
      </c>
      <c r="N117" s="26">
        <v>5</v>
      </c>
      <c r="P117" s="24">
        <v>0</v>
      </c>
      <c r="Q117" s="26" t="s">
        <v>141</v>
      </c>
      <c r="W117" s="45">
        <v>0.21</v>
      </c>
      <c r="X117" s="26"/>
      <c r="Y117" s="26">
        <v>2</v>
      </c>
      <c r="Z117" s="26">
        <v>65</v>
      </c>
      <c r="AA117" s="26" t="s">
        <v>55</v>
      </c>
      <c r="AB117" s="26"/>
      <c r="AC117" s="26"/>
      <c r="AD117" s="26"/>
      <c r="AE117" s="26" t="s">
        <v>141</v>
      </c>
      <c r="AF117" s="26">
        <v>0</v>
      </c>
      <c r="AG117" s="26"/>
      <c r="AH117" s="26"/>
      <c r="AI117" s="26">
        <v>1</v>
      </c>
      <c r="AJ117" s="26">
        <v>10</v>
      </c>
      <c r="AK117" s="26" t="s">
        <v>86</v>
      </c>
      <c r="AL117" s="26">
        <v>2</v>
      </c>
      <c r="AO117" s="26">
        <v>1</v>
      </c>
      <c r="AP117" s="26">
        <v>0</v>
      </c>
      <c r="AQ117" s="26">
        <v>1</v>
      </c>
      <c r="AR117" s="26" t="s">
        <v>141</v>
      </c>
      <c r="AU117" s="121"/>
      <c r="AV117" s="121"/>
      <c r="AY117" s="26" t="s">
        <v>220</v>
      </c>
    </row>
    <row r="118" spans="3:51">
      <c r="C118">
        <v>109</v>
      </c>
      <c r="D118" s="26">
        <v>70</v>
      </c>
      <c r="E118" s="26">
        <v>6.7</v>
      </c>
      <c r="F118" s="71"/>
      <c r="G118" s="71"/>
      <c r="I118" s="46">
        <v>0.11074380165289256</v>
      </c>
      <c r="L118" s="26">
        <v>0</v>
      </c>
      <c r="M118" s="53">
        <v>60</v>
      </c>
      <c r="N118" s="26">
        <v>5</v>
      </c>
      <c r="P118" s="24">
        <v>0</v>
      </c>
      <c r="Q118" s="26" t="s">
        <v>139</v>
      </c>
      <c r="W118" s="45">
        <v>1.45</v>
      </c>
      <c r="X118" s="26"/>
      <c r="Y118" s="26">
        <v>2</v>
      </c>
      <c r="Z118" s="26">
        <v>25</v>
      </c>
      <c r="AA118" s="26" t="s">
        <v>130</v>
      </c>
      <c r="AB118" s="26"/>
      <c r="AC118" s="26"/>
      <c r="AD118" s="26"/>
      <c r="AE118" s="26" t="s">
        <v>139</v>
      </c>
      <c r="AF118" s="26">
        <v>1</v>
      </c>
      <c r="AG118" s="26">
        <v>15</v>
      </c>
      <c r="AH118" s="26" t="s">
        <v>177</v>
      </c>
      <c r="AI118" s="26">
        <v>1</v>
      </c>
      <c r="AJ118" s="26">
        <v>10</v>
      </c>
      <c r="AK118" s="26" t="s">
        <v>86</v>
      </c>
      <c r="AL118" s="26">
        <v>2</v>
      </c>
      <c r="AO118" s="26">
        <v>0</v>
      </c>
      <c r="AP118" s="26">
        <v>0</v>
      </c>
      <c r="AQ118" s="26">
        <v>0</v>
      </c>
      <c r="AR118" s="26"/>
      <c r="AU118" s="121"/>
      <c r="AV118" s="121"/>
      <c r="AY118" s="26">
        <v>2</v>
      </c>
    </row>
    <row r="119" spans="3:51">
      <c r="C119">
        <v>110</v>
      </c>
      <c r="D119" s="26">
        <v>64</v>
      </c>
      <c r="E119" s="26">
        <v>3.2</v>
      </c>
      <c r="F119" s="71"/>
      <c r="G119" s="71"/>
      <c r="I119" s="46">
        <v>6.7226890756302518E-2</v>
      </c>
      <c r="L119" s="26">
        <v>0</v>
      </c>
      <c r="M119" s="53">
        <v>47</v>
      </c>
      <c r="N119" s="26">
        <v>4</v>
      </c>
      <c r="P119" s="24">
        <v>0</v>
      </c>
      <c r="Q119" s="26" t="s">
        <v>141</v>
      </c>
      <c r="W119" s="45">
        <v>0.62</v>
      </c>
      <c r="X119" s="26"/>
      <c r="Y119" s="26">
        <v>2</v>
      </c>
      <c r="Z119" s="26">
        <v>50</v>
      </c>
      <c r="AA119" s="26" t="s">
        <v>130</v>
      </c>
      <c r="AB119" s="26"/>
      <c r="AC119" s="26"/>
      <c r="AD119" s="26"/>
      <c r="AE119" s="26" t="s">
        <v>141</v>
      </c>
      <c r="AF119" s="26"/>
      <c r="AG119" s="26"/>
      <c r="AH119" s="26"/>
      <c r="AI119" s="26"/>
      <c r="AJ119" s="26"/>
      <c r="AK119" s="26"/>
      <c r="AL119" s="26">
        <v>2</v>
      </c>
      <c r="AO119" s="26">
        <v>1</v>
      </c>
      <c r="AP119" s="26">
        <v>0</v>
      </c>
      <c r="AQ119" s="26">
        <v>0</v>
      </c>
      <c r="AR119" s="26"/>
      <c r="AU119" s="121"/>
      <c r="AV119" s="121"/>
      <c r="AY119" s="26">
        <v>2</v>
      </c>
    </row>
    <row r="120" spans="3:51">
      <c r="C120">
        <v>111</v>
      </c>
      <c r="D120" s="26">
        <v>61</v>
      </c>
      <c r="E120" s="26">
        <v>19.5</v>
      </c>
      <c r="F120" s="71"/>
      <c r="G120" s="71"/>
      <c r="I120" s="46">
        <v>0.49872122762148335</v>
      </c>
      <c r="L120" s="26">
        <v>0</v>
      </c>
      <c r="M120" s="53">
        <v>39</v>
      </c>
      <c r="N120" s="26">
        <v>5</v>
      </c>
      <c r="P120" s="24">
        <v>0</v>
      </c>
      <c r="Q120" s="26" t="s">
        <v>142</v>
      </c>
      <c r="W120" s="45">
        <v>1.1399999999999999</v>
      </c>
      <c r="X120" s="26"/>
      <c r="Y120" s="26">
        <v>3</v>
      </c>
      <c r="Z120" s="26">
        <v>75</v>
      </c>
      <c r="AA120" s="26" t="s">
        <v>42</v>
      </c>
      <c r="AB120" s="26"/>
      <c r="AC120" s="26"/>
      <c r="AD120" s="26"/>
      <c r="AE120" s="26" t="s">
        <v>142</v>
      </c>
      <c r="AF120" s="26"/>
      <c r="AG120" s="26"/>
      <c r="AH120" s="26"/>
      <c r="AI120" s="26"/>
      <c r="AJ120" s="26"/>
      <c r="AK120" s="26"/>
      <c r="AL120" s="26">
        <v>3</v>
      </c>
      <c r="AO120" s="26">
        <v>0</v>
      </c>
      <c r="AP120" s="26">
        <v>0</v>
      </c>
      <c r="AQ120" s="26">
        <v>0</v>
      </c>
      <c r="AR120" s="26"/>
      <c r="AU120" s="121"/>
      <c r="AV120" s="121"/>
      <c r="AY120" s="26">
        <v>2</v>
      </c>
    </row>
    <row r="121" spans="3:51">
      <c r="C121">
        <v>112</v>
      </c>
      <c r="D121" s="26">
        <v>76</v>
      </c>
      <c r="E121" s="26">
        <v>14</v>
      </c>
      <c r="F121" s="71"/>
      <c r="G121" s="71"/>
      <c r="I121" s="46">
        <v>0.44303797468354428</v>
      </c>
      <c r="L121" s="26">
        <v>0</v>
      </c>
      <c r="M121" s="53">
        <v>31</v>
      </c>
      <c r="N121" s="26">
        <v>5</v>
      </c>
      <c r="P121" s="24">
        <v>0</v>
      </c>
      <c r="Q121" s="26" t="s">
        <v>141</v>
      </c>
      <c r="W121" s="45">
        <v>1.64</v>
      </c>
      <c r="X121" s="26"/>
      <c r="Y121" s="26">
        <v>2</v>
      </c>
      <c r="Z121" s="26">
        <v>95</v>
      </c>
      <c r="AA121" s="26" t="s">
        <v>178</v>
      </c>
      <c r="AB121" s="26"/>
      <c r="AC121" s="26"/>
      <c r="AD121" s="26"/>
      <c r="AE121" s="26" t="s">
        <v>141</v>
      </c>
      <c r="AF121" s="26"/>
      <c r="AG121" s="26"/>
      <c r="AH121" s="26"/>
      <c r="AI121" s="26"/>
      <c r="AJ121" s="26"/>
      <c r="AK121" s="26"/>
      <c r="AL121" s="26">
        <v>2</v>
      </c>
      <c r="AO121" s="26">
        <v>0</v>
      </c>
      <c r="AP121" s="26">
        <v>0</v>
      </c>
      <c r="AQ121" s="26">
        <v>0</v>
      </c>
      <c r="AR121" s="26"/>
      <c r="AU121" s="121"/>
      <c r="AV121" s="121"/>
      <c r="AY121" s="26">
        <v>2</v>
      </c>
    </row>
    <row r="122" spans="3:51">
      <c r="C122">
        <v>113</v>
      </c>
      <c r="D122" s="26">
        <v>56</v>
      </c>
      <c r="E122" s="26">
        <v>7.8</v>
      </c>
      <c r="F122" s="71"/>
      <c r="G122" s="71"/>
      <c r="I122" s="46">
        <v>0.23423423423423426</v>
      </c>
      <c r="L122" s="26">
        <v>1</v>
      </c>
      <c r="M122" s="53">
        <v>33</v>
      </c>
      <c r="N122" s="26">
        <v>5</v>
      </c>
      <c r="P122" s="24">
        <v>0</v>
      </c>
      <c r="Q122" s="26" t="s">
        <v>143</v>
      </c>
      <c r="W122" s="45">
        <v>1.69</v>
      </c>
      <c r="X122" s="26"/>
      <c r="Y122" s="26">
        <v>2</v>
      </c>
      <c r="Z122" s="26">
        <v>80</v>
      </c>
      <c r="AA122" s="26" t="s">
        <v>123</v>
      </c>
      <c r="AB122" s="26"/>
      <c r="AC122" s="26"/>
      <c r="AD122" s="26"/>
      <c r="AE122" s="26" t="s">
        <v>143</v>
      </c>
      <c r="AF122" s="26"/>
      <c r="AG122" s="26"/>
      <c r="AH122" s="26"/>
      <c r="AI122" s="26"/>
      <c r="AJ122" s="26"/>
      <c r="AK122" s="26"/>
      <c r="AL122" s="26">
        <v>3</v>
      </c>
      <c r="AO122" s="26">
        <v>1</v>
      </c>
      <c r="AP122" s="26">
        <v>0</v>
      </c>
      <c r="AQ122" s="26">
        <v>1</v>
      </c>
      <c r="AR122" s="26" t="s">
        <v>142</v>
      </c>
      <c r="AU122" s="121"/>
      <c r="AV122" s="121"/>
      <c r="AY122" s="26">
        <v>2</v>
      </c>
    </row>
    <row r="123" spans="3:51">
      <c r="C123">
        <v>114</v>
      </c>
      <c r="D123" s="26">
        <v>66</v>
      </c>
      <c r="E123" s="26">
        <v>5.64</v>
      </c>
      <c r="F123" s="71"/>
      <c r="G123" s="71"/>
      <c r="I123" s="46">
        <v>0.12422907488986784</v>
      </c>
      <c r="L123" s="26">
        <v>0</v>
      </c>
      <c r="M123" s="53">
        <v>45</v>
      </c>
      <c r="N123" s="26">
        <v>3</v>
      </c>
      <c r="P123" s="24">
        <v>0</v>
      </c>
      <c r="Q123" s="26" t="s">
        <v>143</v>
      </c>
      <c r="W123" s="45">
        <v>0.62</v>
      </c>
      <c r="X123" s="26"/>
      <c r="Y123" s="26">
        <v>2</v>
      </c>
      <c r="Z123" s="26">
        <v>70</v>
      </c>
      <c r="AA123" s="26" t="s">
        <v>179</v>
      </c>
      <c r="AB123" s="26"/>
      <c r="AC123" s="26"/>
      <c r="AD123" s="26"/>
      <c r="AE123" s="26" t="s">
        <v>143</v>
      </c>
      <c r="AF123" s="26"/>
      <c r="AG123" s="26"/>
      <c r="AH123" s="26"/>
      <c r="AI123" s="26"/>
      <c r="AJ123" s="26"/>
      <c r="AK123" s="26"/>
      <c r="AL123" s="26">
        <v>2</v>
      </c>
      <c r="AO123" s="26">
        <v>0</v>
      </c>
      <c r="AP123" s="26">
        <v>0</v>
      </c>
      <c r="AQ123" s="26">
        <v>0</v>
      </c>
      <c r="AR123" s="26"/>
      <c r="AU123" s="121"/>
      <c r="AV123" s="121"/>
      <c r="AY123" s="26">
        <v>2</v>
      </c>
    </row>
    <row r="124" spans="3:51">
      <c r="C124">
        <v>115</v>
      </c>
      <c r="D124" s="26">
        <v>77</v>
      </c>
      <c r="E124" s="26">
        <v>5.7</v>
      </c>
      <c r="F124" s="71"/>
      <c r="G124" s="71"/>
      <c r="I124" s="46">
        <v>0.11608961303462322</v>
      </c>
      <c r="L124" s="26">
        <v>0</v>
      </c>
      <c r="M124" s="53">
        <v>49</v>
      </c>
      <c r="N124" s="26">
        <v>4</v>
      </c>
      <c r="P124" s="24">
        <v>0</v>
      </c>
      <c r="Q124" s="26" t="s">
        <v>139</v>
      </c>
      <c r="W124" s="45">
        <v>0.36</v>
      </c>
      <c r="X124" s="26"/>
      <c r="Y124" s="26">
        <v>2</v>
      </c>
      <c r="Z124" s="26">
        <v>20</v>
      </c>
      <c r="AA124" s="26" t="s">
        <v>180</v>
      </c>
      <c r="AB124" s="26"/>
      <c r="AC124" s="26"/>
      <c r="AD124" s="26"/>
      <c r="AE124" s="26" t="s">
        <v>139</v>
      </c>
      <c r="AF124" s="26">
        <v>2</v>
      </c>
      <c r="AG124" s="26">
        <v>25</v>
      </c>
      <c r="AH124" s="26" t="s">
        <v>67</v>
      </c>
      <c r="AI124" s="26">
        <v>0</v>
      </c>
      <c r="AJ124" s="26"/>
      <c r="AK124" s="26"/>
      <c r="AL124" s="26">
        <v>2</v>
      </c>
      <c r="AO124" s="26">
        <v>0</v>
      </c>
      <c r="AP124" s="26">
        <v>0</v>
      </c>
      <c r="AQ124" s="26">
        <v>0</v>
      </c>
      <c r="AR124" s="26"/>
      <c r="AU124" s="121"/>
      <c r="AV124" s="121"/>
      <c r="AY124" s="26">
        <v>2</v>
      </c>
    </row>
    <row r="125" spans="3:51">
      <c r="C125">
        <v>116</v>
      </c>
      <c r="D125" s="26">
        <v>83</v>
      </c>
      <c r="E125" s="26">
        <v>17.98</v>
      </c>
      <c r="F125" s="71"/>
      <c r="G125" s="71"/>
      <c r="I125" s="46">
        <v>0.25907780979827089</v>
      </c>
      <c r="L125" s="26">
        <v>1</v>
      </c>
      <c r="M125" s="53">
        <v>69</v>
      </c>
      <c r="N125" s="26">
        <v>4</v>
      </c>
      <c r="P125" s="24">
        <v>0</v>
      </c>
      <c r="Q125" s="26" t="s">
        <v>141</v>
      </c>
      <c r="W125" s="45">
        <v>0.32</v>
      </c>
      <c r="X125" s="26"/>
      <c r="Y125" s="26">
        <v>3</v>
      </c>
      <c r="Z125" s="26">
        <v>60</v>
      </c>
      <c r="AA125" s="26" t="s">
        <v>42</v>
      </c>
      <c r="AB125" s="26"/>
      <c r="AC125" s="26"/>
      <c r="AD125" s="26"/>
      <c r="AE125" s="26" t="s">
        <v>141</v>
      </c>
      <c r="AF125" s="26">
        <v>3</v>
      </c>
      <c r="AG125" s="26">
        <v>15</v>
      </c>
      <c r="AH125" s="26" t="s">
        <v>209</v>
      </c>
      <c r="AI125" s="26">
        <v>0</v>
      </c>
      <c r="AJ125" s="26"/>
      <c r="AK125" s="26"/>
      <c r="AL125" s="26">
        <v>3</v>
      </c>
      <c r="AO125" s="26">
        <v>0</v>
      </c>
      <c r="AP125" s="26">
        <v>0</v>
      </c>
      <c r="AQ125" s="26">
        <v>1</v>
      </c>
      <c r="AR125" s="26" t="s">
        <v>142</v>
      </c>
      <c r="AU125" s="121"/>
      <c r="AV125" s="121"/>
      <c r="AY125" s="26">
        <v>2</v>
      </c>
    </row>
    <row r="126" spans="3:51">
      <c r="C126">
        <v>117</v>
      </c>
      <c r="D126" s="26">
        <v>69</v>
      </c>
      <c r="E126" s="26">
        <v>10.32</v>
      </c>
      <c r="F126" s="71"/>
      <c r="G126" s="71"/>
      <c r="I126" s="46">
        <v>0.36338028169014086</v>
      </c>
      <c r="L126" s="26">
        <v>0</v>
      </c>
      <c r="M126" s="53">
        <v>28</v>
      </c>
      <c r="N126" s="26">
        <v>5</v>
      </c>
      <c r="P126" s="24">
        <v>0</v>
      </c>
      <c r="Q126" s="26" t="s">
        <v>143</v>
      </c>
      <c r="W126" s="45">
        <v>0.83</v>
      </c>
      <c r="X126" s="26"/>
      <c r="Y126" s="26">
        <v>2</v>
      </c>
      <c r="Z126" s="26">
        <v>90</v>
      </c>
      <c r="AA126" s="26" t="s">
        <v>178</v>
      </c>
      <c r="AB126" s="26"/>
      <c r="AC126" s="26"/>
      <c r="AD126" s="26"/>
      <c r="AE126" s="26" t="s">
        <v>143</v>
      </c>
      <c r="AF126" s="26">
        <v>1</v>
      </c>
      <c r="AG126" s="26">
        <v>10</v>
      </c>
      <c r="AH126" s="26" t="s">
        <v>86</v>
      </c>
      <c r="AI126" s="26">
        <v>1</v>
      </c>
      <c r="AJ126" s="26">
        <v>10</v>
      </c>
      <c r="AK126" s="26" t="s">
        <v>81</v>
      </c>
      <c r="AL126" s="26">
        <v>2</v>
      </c>
      <c r="AO126" s="26">
        <v>0</v>
      </c>
      <c r="AP126" s="26">
        <v>0</v>
      </c>
      <c r="AQ126" s="26">
        <v>0</v>
      </c>
      <c r="AR126" s="26"/>
      <c r="AU126" s="121"/>
      <c r="AV126" s="121"/>
      <c r="AY126" s="26">
        <v>2</v>
      </c>
    </row>
    <row r="127" spans="3:51">
      <c r="C127">
        <v>118</v>
      </c>
      <c r="D127" s="27">
        <v>72</v>
      </c>
      <c r="E127" s="27">
        <v>8.39</v>
      </c>
      <c r="I127" s="46">
        <v>0.140536013400335</v>
      </c>
      <c r="L127" s="27">
        <v>0</v>
      </c>
      <c r="M127" s="54">
        <v>59</v>
      </c>
      <c r="N127" s="27">
        <v>5</v>
      </c>
      <c r="P127" s="24">
        <v>0</v>
      </c>
      <c r="Q127" s="27" t="s">
        <v>142</v>
      </c>
      <c r="W127" s="66">
        <v>1.1000000000000001</v>
      </c>
      <c r="X127" s="26"/>
      <c r="Y127" s="27">
        <v>5</v>
      </c>
      <c r="Z127" s="27">
        <v>60</v>
      </c>
      <c r="AA127" s="27" t="s">
        <v>49</v>
      </c>
      <c r="AB127" s="27"/>
      <c r="AC127" s="27"/>
      <c r="AD127" s="27"/>
      <c r="AE127" s="27" t="s">
        <v>142</v>
      </c>
      <c r="AF127" s="27">
        <v>2</v>
      </c>
      <c r="AG127" s="27">
        <v>20</v>
      </c>
      <c r="AH127" s="27" t="s">
        <v>177</v>
      </c>
      <c r="AI127" s="27">
        <v>1</v>
      </c>
      <c r="AJ127" s="27">
        <v>15</v>
      </c>
      <c r="AK127" s="27" t="s">
        <v>81</v>
      </c>
      <c r="AL127" s="27">
        <v>2</v>
      </c>
      <c r="AO127" s="27">
        <v>0</v>
      </c>
      <c r="AP127" s="27">
        <v>0</v>
      </c>
      <c r="AQ127" s="27">
        <v>1</v>
      </c>
      <c r="AR127" s="27"/>
      <c r="AU127" s="121">
        <v>1</v>
      </c>
      <c r="AV127" s="121"/>
      <c r="AY127" s="27" t="s">
        <v>221</v>
      </c>
    </row>
    <row r="128" spans="3:51">
      <c r="C128">
        <v>119</v>
      </c>
      <c r="D128" s="26">
        <v>73</v>
      </c>
      <c r="E128" s="26">
        <v>17.899999999999999</v>
      </c>
      <c r="F128" s="71"/>
      <c r="G128" s="71"/>
      <c r="I128" s="46">
        <v>0.53753753753753752</v>
      </c>
      <c r="L128" s="26">
        <v>1</v>
      </c>
      <c r="M128" s="53">
        <v>33</v>
      </c>
      <c r="N128" s="26">
        <v>4</v>
      </c>
      <c r="P128" s="24">
        <v>0</v>
      </c>
      <c r="Q128" s="26" t="s">
        <v>143</v>
      </c>
      <c r="W128" s="45">
        <v>0.41</v>
      </c>
      <c r="X128" s="26"/>
      <c r="Y128" s="26">
        <v>4</v>
      </c>
      <c r="Z128" s="26">
        <v>70</v>
      </c>
      <c r="AA128" s="26" t="s">
        <v>123</v>
      </c>
      <c r="AB128" s="26"/>
      <c r="AC128" s="26"/>
      <c r="AD128" s="26"/>
      <c r="AE128" s="26" t="s">
        <v>143</v>
      </c>
      <c r="AF128" s="26">
        <v>2</v>
      </c>
      <c r="AG128" s="26">
        <v>65</v>
      </c>
      <c r="AH128" s="26" t="s">
        <v>179</v>
      </c>
      <c r="AI128" s="26">
        <v>5</v>
      </c>
      <c r="AJ128" s="26">
        <v>65</v>
      </c>
      <c r="AK128" s="26" t="s">
        <v>177</v>
      </c>
      <c r="AL128" s="26">
        <v>5</v>
      </c>
      <c r="AO128" s="26">
        <v>0</v>
      </c>
      <c r="AP128" s="26">
        <v>0</v>
      </c>
      <c r="AQ128" s="26">
        <v>0</v>
      </c>
      <c r="AR128" s="26"/>
      <c r="AU128" s="121"/>
      <c r="AV128" s="121"/>
      <c r="AY128" s="26">
        <v>2</v>
      </c>
    </row>
    <row r="129" spans="3:51">
      <c r="C129">
        <v>120</v>
      </c>
      <c r="D129" s="27">
        <v>64</v>
      </c>
      <c r="E129" s="27">
        <v>2.8</v>
      </c>
      <c r="I129" s="46">
        <v>8.7774294670846395E-2</v>
      </c>
      <c r="L129" s="27">
        <v>0</v>
      </c>
      <c r="M129" s="54">
        <v>31</v>
      </c>
      <c r="N129" s="27">
        <v>3</v>
      </c>
      <c r="P129" s="24">
        <v>0</v>
      </c>
      <c r="Q129" s="27" t="s">
        <v>141</v>
      </c>
      <c r="W129" s="66">
        <v>0.43</v>
      </c>
      <c r="X129" s="26"/>
      <c r="Y129" s="27">
        <v>2</v>
      </c>
      <c r="Z129" s="27">
        <v>45</v>
      </c>
      <c r="AA129" s="27" t="s">
        <v>42</v>
      </c>
      <c r="AB129" s="27"/>
      <c r="AC129" s="27"/>
      <c r="AD129" s="27"/>
      <c r="AE129" s="27" t="s">
        <v>141</v>
      </c>
      <c r="AF129" s="27">
        <v>1</v>
      </c>
      <c r="AG129" s="27">
        <v>15</v>
      </c>
      <c r="AH129" s="27" t="s">
        <v>177</v>
      </c>
      <c r="AI129" s="27">
        <v>0</v>
      </c>
      <c r="AJ129" s="27"/>
      <c r="AK129" s="27"/>
      <c r="AL129" s="27">
        <v>2</v>
      </c>
      <c r="AO129" s="27">
        <v>0</v>
      </c>
      <c r="AP129" s="27">
        <v>0</v>
      </c>
      <c r="AQ129" s="27">
        <v>0</v>
      </c>
      <c r="AR129" s="27"/>
      <c r="AU129" s="121"/>
      <c r="AV129" s="121"/>
      <c r="AY129" s="27">
        <v>2</v>
      </c>
    </row>
    <row r="130" spans="3:51">
      <c r="C130">
        <v>121</v>
      </c>
      <c r="D130" s="26">
        <v>75</v>
      </c>
      <c r="E130" s="26">
        <v>11.4</v>
      </c>
      <c r="F130" s="71"/>
      <c r="G130" s="71"/>
      <c r="I130" s="46">
        <v>0.59067357512953367</v>
      </c>
      <c r="L130" s="26">
        <v>0</v>
      </c>
      <c r="M130" s="53">
        <v>19</v>
      </c>
      <c r="N130" s="26">
        <v>4</v>
      </c>
      <c r="P130" s="24">
        <v>0</v>
      </c>
      <c r="Q130" s="26" t="s">
        <v>143</v>
      </c>
      <c r="W130" s="45">
        <v>0.22</v>
      </c>
      <c r="X130" s="26"/>
      <c r="Y130" s="26">
        <v>3</v>
      </c>
      <c r="Z130" s="26">
        <v>75</v>
      </c>
      <c r="AA130" s="26" t="s">
        <v>179</v>
      </c>
      <c r="AB130" s="26"/>
      <c r="AC130" s="26"/>
      <c r="AD130" s="26"/>
      <c r="AE130" s="26" t="s">
        <v>143</v>
      </c>
      <c r="AF130" s="26">
        <v>0</v>
      </c>
      <c r="AG130" s="26"/>
      <c r="AH130" s="26"/>
      <c r="AI130" s="26">
        <v>4</v>
      </c>
      <c r="AJ130" s="26">
        <v>20</v>
      </c>
      <c r="AK130" s="26" t="s">
        <v>180</v>
      </c>
      <c r="AL130" s="26">
        <v>4</v>
      </c>
      <c r="AO130" s="26">
        <v>0</v>
      </c>
      <c r="AP130" s="26">
        <v>0</v>
      </c>
      <c r="AQ130" s="26">
        <v>0</v>
      </c>
      <c r="AR130" s="26"/>
      <c r="AU130" s="121"/>
      <c r="AV130" s="121"/>
      <c r="AY130" s="26">
        <v>2</v>
      </c>
    </row>
    <row r="131" spans="3:51">
      <c r="C131">
        <v>122</v>
      </c>
      <c r="D131" s="27">
        <v>71</v>
      </c>
      <c r="E131" s="27">
        <v>7.06</v>
      </c>
      <c r="I131" s="46">
        <v>0.31517857142857142</v>
      </c>
      <c r="L131" s="27">
        <v>0</v>
      </c>
      <c r="M131" s="54">
        <v>22</v>
      </c>
      <c r="N131" s="27">
        <v>4</v>
      </c>
      <c r="P131" s="24">
        <v>0</v>
      </c>
      <c r="Q131" s="27" t="s">
        <v>143</v>
      </c>
      <c r="W131" s="66">
        <v>0.34</v>
      </c>
      <c r="X131" s="26"/>
      <c r="Y131" s="27">
        <v>2</v>
      </c>
      <c r="Z131" s="27">
        <v>50</v>
      </c>
      <c r="AA131" s="27" t="s">
        <v>130</v>
      </c>
      <c r="AB131" s="27"/>
      <c r="AC131" s="27"/>
      <c r="AD131" s="27"/>
      <c r="AE131" s="27" t="s">
        <v>143</v>
      </c>
      <c r="AF131" s="27"/>
      <c r="AG131" s="27"/>
      <c r="AH131" s="27"/>
      <c r="AI131" s="27"/>
      <c r="AJ131" s="27"/>
      <c r="AK131" s="27"/>
      <c r="AL131" s="27">
        <v>2</v>
      </c>
      <c r="AO131" s="27">
        <v>0</v>
      </c>
      <c r="AP131" s="27">
        <v>0</v>
      </c>
      <c r="AQ131" s="27">
        <v>0</v>
      </c>
      <c r="AR131" s="27"/>
      <c r="AU131" s="121"/>
      <c r="AV131" s="121"/>
      <c r="AY131" s="27">
        <v>2</v>
      </c>
    </row>
    <row r="132" spans="3:51">
      <c r="C132">
        <v>123</v>
      </c>
      <c r="D132" s="26">
        <v>56</v>
      </c>
      <c r="E132" s="26">
        <v>12.7</v>
      </c>
      <c r="F132" s="71"/>
      <c r="G132" s="71"/>
      <c r="I132" s="46">
        <v>0.45683453237410065</v>
      </c>
      <c r="L132" s="26">
        <v>1</v>
      </c>
      <c r="M132" s="53">
        <v>27</v>
      </c>
      <c r="N132" s="26">
        <v>4</v>
      </c>
      <c r="P132" s="24">
        <v>0</v>
      </c>
      <c r="Q132" s="26" t="s">
        <v>141</v>
      </c>
      <c r="W132" s="45">
        <v>0.54</v>
      </c>
      <c r="X132" s="26"/>
      <c r="Y132" s="26">
        <v>2</v>
      </c>
      <c r="Z132" s="26">
        <v>75</v>
      </c>
      <c r="AA132" s="26" t="s">
        <v>42</v>
      </c>
      <c r="AB132" s="26"/>
      <c r="AC132" s="26"/>
      <c r="AD132" s="26"/>
      <c r="AE132" s="26" t="s">
        <v>141</v>
      </c>
      <c r="AF132" s="26">
        <v>2</v>
      </c>
      <c r="AG132" s="26">
        <v>65</v>
      </c>
      <c r="AH132" s="26" t="s">
        <v>209</v>
      </c>
      <c r="AI132" s="26">
        <v>2</v>
      </c>
      <c r="AJ132" s="26">
        <v>60</v>
      </c>
      <c r="AK132" s="26" t="s">
        <v>65</v>
      </c>
      <c r="AL132" s="26">
        <v>3</v>
      </c>
      <c r="AO132" s="26">
        <v>0</v>
      </c>
      <c r="AP132" s="26">
        <v>0</v>
      </c>
      <c r="AQ132" s="26">
        <v>0</v>
      </c>
      <c r="AR132" s="26"/>
      <c r="AU132" s="121"/>
      <c r="AV132" s="121"/>
      <c r="AY132" s="26">
        <v>2</v>
      </c>
    </row>
    <row r="133" spans="3:51">
      <c r="C133">
        <v>124</v>
      </c>
      <c r="D133" s="27">
        <v>68</v>
      </c>
      <c r="E133" s="27">
        <v>5.53</v>
      </c>
      <c r="I133" s="46">
        <v>0.14746666666666666</v>
      </c>
      <c r="L133" s="27">
        <v>0</v>
      </c>
      <c r="M133" s="54">
        <v>37</v>
      </c>
      <c r="N133" s="27">
        <v>4</v>
      </c>
      <c r="P133" s="24">
        <v>0</v>
      </c>
      <c r="Q133" s="27" t="s">
        <v>141</v>
      </c>
      <c r="W133" s="66">
        <v>0.46</v>
      </c>
      <c r="X133" s="26"/>
      <c r="Y133" s="27">
        <v>2</v>
      </c>
      <c r="Z133" s="27">
        <v>65</v>
      </c>
      <c r="AA133" s="27" t="s">
        <v>55</v>
      </c>
      <c r="AB133" s="27"/>
      <c r="AC133" s="27"/>
      <c r="AD133" s="27"/>
      <c r="AE133" s="27" t="s">
        <v>141</v>
      </c>
      <c r="AF133" s="27">
        <v>1</v>
      </c>
      <c r="AG133" s="27">
        <v>25</v>
      </c>
      <c r="AH133" s="27" t="s">
        <v>177</v>
      </c>
      <c r="AI133" s="27">
        <v>1</v>
      </c>
      <c r="AJ133" s="27">
        <v>4</v>
      </c>
      <c r="AK133" s="27" t="s">
        <v>81</v>
      </c>
      <c r="AL133" s="27">
        <v>3</v>
      </c>
      <c r="AO133" s="27">
        <v>0</v>
      </c>
      <c r="AP133" s="27">
        <v>0</v>
      </c>
      <c r="AQ133" s="27">
        <v>0</v>
      </c>
      <c r="AR133" s="27"/>
      <c r="AU133" s="121"/>
      <c r="AV133" s="121"/>
      <c r="AY133" s="27">
        <v>2</v>
      </c>
    </row>
    <row r="134" spans="3:51">
      <c r="C134">
        <v>125</v>
      </c>
      <c r="D134" s="26">
        <v>66</v>
      </c>
      <c r="E134" s="26">
        <v>5.83</v>
      </c>
      <c r="F134" s="71"/>
      <c r="G134" s="71"/>
      <c r="I134" s="46">
        <v>0.16239554317548746</v>
      </c>
      <c r="L134" s="26">
        <v>0</v>
      </c>
      <c r="M134" s="53">
        <v>35</v>
      </c>
      <c r="N134" s="26">
        <v>4</v>
      </c>
      <c r="P134" s="24">
        <v>0</v>
      </c>
      <c r="Q134" s="26" t="s">
        <v>141</v>
      </c>
      <c r="W134" s="45">
        <v>0.67</v>
      </c>
      <c r="X134" s="26"/>
      <c r="Y134" s="26">
        <v>1</v>
      </c>
      <c r="Z134" s="26">
        <v>30</v>
      </c>
      <c r="AA134" s="26" t="s">
        <v>130</v>
      </c>
      <c r="AB134" s="26"/>
      <c r="AC134" s="26"/>
      <c r="AD134" s="26"/>
      <c r="AE134" s="26" t="s">
        <v>141</v>
      </c>
      <c r="AF134" s="26">
        <v>1</v>
      </c>
      <c r="AG134" s="26">
        <v>5</v>
      </c>
      <c r="AH134" s="26" t="s">
        <v>81</v>
      </c>
      <c r="AI134" s="26">
        <v>0</v>
      </c>
      <c r="AJ134" s="26"/>
      <c r="AK134" s="26"/>
      <c r="AL134" s="26">
        <v>4</v>
      </c>
      <c r="AO134" s="26">
        <v>0</v>
      </c>
      <c r="AP134" s="26">
        <v>0</v>
      </c>
      <c r="AQ134" s="26">
        <v>0</v>
      </c>
      <c r="AR134" s="26"/>
      <c r="AU134" s="121"/>
      <c r="AV134" s="121"/>
      <c r="AY134" s="26">
        <v>2</v>
      </c>
    </row>
    <row r="135" spans="3:51">
      <c r="C135">
        <v>126</v>
      </c>
      <c r="D135" s="27">
        <v>50</v>
      </c>
      <c r="E135" s="27">
        <v>5.9</v>
      </c>
      <c r="I135" s="46">
        <v>0.30412371134020622</v>
      </c>
      <c r="L135" s="27">
        <v>0</v>
      </c>
      <c r="M135" s="54">
        <v>19</v>
      </c>
      <c r="N135" s="27">
        <v>4</v>
      </c>
      <c r="P135" s="24">
        <v>0</v>
      </c>
      <c r="Q135" s="27" t="s">
        <v>143</v>
      </c>
      <c r="W135" s="66">
        <v>0.23</v>
      </c>
      <c r="X135" s="26"/>
      <c r="Y135" s="27">
        <v>2</v>
      </c>
      <c r="Z135" s="27">
        <v>90</v>
      </c>
      <c r="AA135" s="27" t="s">
        <v>178</v>
      </c>
      <c r="AB135" s="27"/>
      <c r="AC135" s="27"/>
      <c r="AD135" s="27"/>
      <c r="AE135" s="27" t="s">
        <v>143</v>
      </c>
      <c r="AF135" s="27">
        <v>2</v>
      </c>
      <c r="AG135" s="27">
        <v>15</v>
      </c>
      <c r="AH135" s="27" t="s">
        <v>86</v>
      </c>
      <c r="AI135" s="27">
        <v>2</v>
      </c>
      <c r="AJ135" s="27">
        <v>50</v>
      </c>
      <c r="AK135" s="27" t="s">
        <v>65</v>
      </c>
      <c r="AL135" s="27">
        <v>2</v>
      </c>
      <c r="AO135" s="27">
        <v>0</v>
      </c>
      <c r="AP135" s="27">
        <v>0</v>
      </c>
      <c r="AQ135" s="27">
        <v>0</v>
      </c>
      <c r="AR135" s="27"/>
      <c r="AU135" s="121"/>
      <c r="AV135" s="121"/>
      <c r="AY135" s="27">
        <v>2</v>
      </c>
    </row>
    <row r="136" spans="3:51">
      <c r="C136">
        <v>127</v>
      </c>
      <c r="D136" s="26">
        <v>65</v>
      </c>
      <c r="E136" s="26">
        <v>6.4</v>
      </c>
      <c r="F136" s="71"/>
      <c r="G136" s="71"/>
      <c r="I136" s="46">
        <v>0.21476510067114093</v>
      </c>
      <c r="L136" s="26">
        <v>1</v>
      </c>
      <c r="M136" s="53">
        <v>29</v>
      </c>
      <c r="N136" s="26">
        <v>5</v>
      </c>
      <c r="P136" s="24">
        <v>0</v>
      </c>
      <c r="Q136" s="26" t="s">
        <v>143</v>
      </c>
      <c r="W136" s="45">
        <v>0.69</v>
      </c>
      <c r="X136" s="26"/>
      <c r="Y136" s="26">
        <v>2</v>
      </c>
      <c r="Z136" s="26">
        <v>60</v>
      </c>
      <c r="AA136" s="26" t="s">
        <v>42</v>
      </c>
      <c r="AB136" s="26"/>
      <c r="AC136" s="26"/>
      <c r="AD136" s="26"/>
      <c r="AE136" s="26" t="s">
        <v>143</v>
      </c>
      <c r="AF136" s="26">
        <v>0</v>
      </c>
      <c r="AG136" s="26"/>
      <c r="AH136" s="26"/>
      <c r="AI136" s="26">
        <v>2</v>
      </c>
      <c r="AJ136" s="26">
        <v>40</v>
      </c>
      <c r="AK136" s="26" t="s">
        <v>65</v>
      </c>
      <c r="AL136" s="26">
        <v>3</v>
      </c>
      <c r="AO136" s="26">
        <v>0</v>
      </c>
      <c r="AP136" s="26">
        <v>0</v>
      </c>
      <c r="AQ136" s="26">
        <v>1</v>
      </c>
      <c r="AR136" s="26" t="s">
        <v>143</v>
      </c>
      <c r="AU136" s="121"/>
      <c r="AV136" s="121"/>
      <c r="AY136" s="26" t="s">
        <v>220</v>
      </c>
    </row>
    <row r="137" spans="3:51">
      <c r="C137">
        <v>128</v>
      </c>
      <c r="D137" s="27">
        <v>52</v>
      </c>
      <c r="E137" s="27">
        <v>3.9</v>
      </c>
      <c r="I137" s="46">
        <v>0.13541666666666666</v>
      </c>
      <c r="L137" s="27">
        <v>1</v>
      </c>
      <c r="M137" s="54">
        <v>28</v>
      </c>
      <c r="N137" s="27">
        <v>4</v>
      </c>
      <c r="P137" s="24">
        <v>0</v>
      </c>
      <c r="Q137" s="27" t="s">
        <v>141</v>
      </c>
      <c r="W137" s="66">
        <v>0.15</v>
      </c>
      <c r="X137" s="26"/>
      <c r="Y137" s="27">
        <v>2</v>
      </c>
      <c r="Z137" s="27">
        <v>65</v>
      </c>
      <c r="AA137" s="27" t="s">
        <v>123</v>
      </c>
      <c r="AB137" s="27"/>
      <c r="AC137" s="27"/>
      <c r="AD137" s="27"/>
      <c r="AE137" s="27" t="s">
        <v>141</v>
      </c>
      <c r="AF137" s="27">
        <v>1</v>
      </c>
      <c r="AG137" s="27">
        <v>15</v>
      </c>
      <c r="AH137" s="27" t="s">
        <v>180</v>
      </c>
      <c r="AI137" s="27">
        <v>2</v>
      </c>
      <c r="AJ137" s="27">
        <v>25</v>
      </c>
      <c r="AK137" s="27" t="s">
        <v>179</v>
      </c>
      <c r="AL137" s="27">
        <v>2</v>
      </c>
      <c r="AO137" s="27">
        <v>0</v>
      </c>
      <c r="AP137" s="27">
        <v>0</v>
      </c>
      <c r="AQ137" s="27">
        <v>0</v>
      </c>
      <c r="AR137" s="27"/>
      <c r="AU137" s="121"/>
      <c r="AV137" s="121"/>
      <c r="AY137" s="27">
        <v>2</v>
      </c>
    </row>
    <row r="138" spans="3:51">
      <c r="C138">
        <v>129</v>
      </c>
      <c r="D138" s="26">
        <v>66</v>
      </c>
      <c r="E138" s="26">
        <v>4.3</v>
      </c>
      <c r="F138" s="71"/>
      <c r="G138" s="71"/>
      <c r="I138" s="46">
        <v>0.12250712250712249</v>
      </c>
      <c r="L138" s="26">
        <v>0</v>
      </c>
      <c r="M138" s="53">
        <v>35</v>
      </c>
      <c r="N138" s="26">
        <v>4</v>
      </c>
      <c r="P138" s="24">
        <v>0</v>
      </c>
      <c r="Q138" s="26" t="s">
        <v>143</v>
      </c>
      <c r="W138" s="45">
        <v>0.28999999999999998</v>
      </c>
      <c r="X138" s="26"/>
      <c r="Y138" s="26">
        <v>2</v>
      </c>
      <c r="Z138" s="26">
        <v>50</v>
      </c>
      <c r="AA138" s="26" t="s">
        <v>42</v>
      </c>
      <c r="AB138" s="26"/>
      <c r="AC138" s="26"/>
      <c r="AD138" s="26"/>
      <c r="AE138" s="26" t="s">
        <v>143</v>
      </c>
      <c r="AF138" s="26"/>
      <c r="AG138" s="26"/>
      <c r="AH138" s="26"/>
      <c r="AI138" s="26"/>
      <c r="AJ138" s="26"/>
      <c r="AK138" s="26"/>
      <c r="AL138" s="26">
        <v>2</v>
      </c>
      <c r="AO138" s="26">
        <v>0</v>
      </c>
      <c r="AP138" s="26">
        <v>0</v>
      </c>
      <c r="AQ138" s="26">
        <v>0</v>
      </c>
      <c r="AR138" s="26"/>
      <c r="AU138" s="121"/>
      <c r="AV138" s="121"/>
      <c r="AY138" s="26">
        <v>2</v>
      </c>
    </row>
    <row r="139" spans="3:51">
      <c r="C139">
        <v>130</v>
      </c>
      <c r="D139" s="27">
        <v>68</v>
      </c>
      <c r="E139" s="27">
        <v>5.5</v>
      </c>
      <c r="I139" s="46">
        <v>0.13253012048192772</v>
      </c>
      <c r="L139" s="27">
        <v>1</v>
      </c>
      <c r="M139" s="54">
        <v>41</v>
      </c>
      <c r="N139" s="27">
        <v>5</v>
      </c>
      <c r="P139" s="24">
        <v>0</v>
      </c>
      <c r="Q139" s="27" t="s">
        <v>141</v>
      </c>
      <c r="W139" s="66">
        <v>0.33</v>
      </c>
      <c r="X139" s="26"/>
      <c r="Y139" s="27">
        <v>2</v>
      </c>
      <c r="Z139" s="27">
        <v>60</v>
      </c>
      <c r="AA139" s="27" t="s">
        <v>42</v>
      </c>
      <c r="AB139" s="27"/>
      <c r="AC139" s="27"/>
      <c r="AD139" s="27"/>
      <c r="AE139" s="27" t="s">
        <v>141</v>
      </c>
      <c r="AF139" s="27">
        <v>2</v>
      </c>
      <c r="AG139" s="27">
        <v>30</v>
      </c>
      <c r="AH139" s="27" t="s">
        <v>180</v>
      </c>
      <c r="AI139" s="27">
        <v>0</v>
      </c>
      <c r="AJ139" s="27"/>
      <c r="AK139" s="27"/>
      <c r="AL139" s="27">
        <v>1</v>
      </c>
      <c r="AO139" s="27">
        <v>0</v>
      </c>
      <c r="AP139" s="27">
        <v>0</v>
      </c>
      <c r="AQ139" s="27">
        <v>0</v>
      </c>
      <c r="AR139" s="27"/>
      <c r="AU139" s="121"/>
      <c r="AV139" s="121"/>
      <c r="AY139" s="27">
        <v>2</v>
      </c>
    </row>
    <row r="140" spans="3:51">
      <c r="C140">
        <v>131</v>
      </c>
      <c r="D140" s="26">
        <v>56</v>
      </c>
      <c r="E140" s="26">
        <v>6.07</v>
      </c>
      <c r="F140" s="71"/>
      <c r="G140" s="71"/>
      <c r="I140" s="46">
        <v>0.35705882352941176</v>
      </c>
      <c r="L140" s="26">
        <v>0</v>
      </c>
      <c r="M140" s="53">
        <v>17</v>
      </c>
      <c r="N140" s="26">
        <v>3</v>
      </c>
      <c r="P140" s="24">
        <v>0</v>
      </c>
      <c r="Q140" s="26" t="s">
        <v>143</v>
      </c>
      <c r="W140" s="45">
        <v>0.19</v>
      </c>
      <c r="X140" s="26"/>
      <c r="Y140" s="26">
        <v>1</v>
      </c>
      <c r="Z140" s="26">
        <v>4</v>
      </c>
      <c r="AA140" s="26" t="s">
        <v>180</v>
      </c>
      <c r="AB140" s="26"/>
      <c r="AC140" s="26"/>
      <c r="AD140" s="26"/>
      <c r="AE140" s="26" t="s">
        <v>143</v>
      </c>
      <c r="AF140" s="26">
        <v>2</v>
      </c>
      <c r="AG140" s="26">
        <v>40</v>
      </c>
      <c r="AH140" s="26" t="s">
        <v>210</v>
      </c>
      <c r="AI140" s="26">
        <v>0</v>
      </c>
      <c r="AJ140" s="26"/>
      <c r="AK140" s="26"/>
      <c r="AL140" s="26">
        <v>3</v>
      </c>
      <c r="AO140" s="26">
        <v>0</v>
      </c>
      <c r="AP140" s="26">
        <v>0</v>
      </c>
      <c r="AQ140" s="26">
        <v>0</v>
      </c>
      <c r="AR140" s="26"/>
      <c r="AU140" s="121"/>
      <c r="AV140" s="121"/>
      <c r="AY140" s="26">
        <v>2</v>
      </c>
    </row>
    <row r="141" spans="3:51">
      <c r="C141">
        <v>132</v>
      </c>
      <c r="D141" s="26">
        <v>72</v>
      </c>
      <c r="E141" s="26">
        <v>6.4</v>
      </c>
      <c r="F141" s="71"/>
      <c r="G141" s="71"/>
      <c r="I141" s="46">
        <v>0.21333333333333335</v>
      </c>
      <c r="L141" s="26">
        <v>1</v>
      </c>
      <c r="M141" s="53">
        <v>30</v>
      </c>
      <c r="N141" s="26">
        <v>4</v>
      </c>
      <c r="P141" s="24">
        <v>0</v>
      </c>
      <c r="Q141" s="26" t="s">
        <v>141</v>
      </c>
      <c r="W141" s="45">
        <v>0.27</v>
      </c>
      <c r="X141" s="26"/>
      <c r="Y141" s="26">
        <v>3</v>
      </c>
      <c r="Z141" s="26">
        <v>60</v>
      </c>
      <c r="AA141" s="26" t="s">
        <v>65</v>
      </c>
      <c r="AB141" s="26"/>
      <c r="AC141" s="26"/>
      <c r="AD141" s="26"/>
      <c r="AE141" s="26" t="s">
        <v>141</v>
      </c>
      <c r="AF141" s="26">
        <v>3</v>
      </c>
      <c r="AG141" s="26">
        <v>50</v>
      </c>
      <c r="AH141" s="26" t="s">
        <v>86</v>
      </c>
      <c r="AI141" s="26">
        <v>0</v>
      </c>
      <c r="AJ141" s="26"/>
      <c r="AK141" s="26"/>
      <c r="AL141" s="26">
        <v>2</v>
      </c>
      <c r="AO141" s="26">
        <v>0</v>
      </c>
      <c r="AP141" s="26">
        <v>0</v>
      </c>
      <c r="AQ141" s="26">
        <v>0</v>
      </c>
      <c r="AR141" s="26"/>
      <c r="AU141" s="121"/>
      <c r="AV141" s="121"/>
      <c r="AY141" s="26">
        <v>2</v>
      </c>
    </row>
    <row r="142" spans="3:51">
      <c r="C142">
        <v>133</v>
      </c>
      <c r="D142" s="26">
        <v>52</v>
      </c>
      <c r="E142" s="26">
        <v>4.5999999999999996</v>
      </c>
      <c r="F142" s="71"/>
      <c r="G142" s="71"/>
      <c r="I142" s="46">
        <v>0.13649851632047474</v>
      </c>
      <c r="L142" s="26">
        <v>0</v>
      </c>
      <c r="M142" s="53">
        <v>33</v>
      </c>
      <c r="N142" s="26">
        <v>4</v>
      </c>
      <c r="P142" s="26">
        <v>0</v>
      </c>
      <c r="Q142" s="26" t="s">
        <v>143</v>
      </c>
      <c r="W142" s="45">
        <v>0.14000000000000001</v>
      </c>
      <c r="X142" s="26"/>
      <c r="Y142" s="26">
        <v>2</v>
      </c>
      <c r="Z142" s="26">
        <v>20</v>
      </c>
      <c r="AA142" s="26" t="s">
        <v>55</v>
      </c>
      <c r="AB142" s="26"/>
      <c r="AC142" s="26"/>
      <c r="AD142" s="26"/>
      <c r="AE142" s="26" t="s">
        <v>143</v>
      </c>
      <c r="AF142" s="26"/>
      <c r="AG142" s="26"/>
      <c r="AH142" s="26"/>
      <c r="AI142" s="26"/>
      <c r="AJ142" s="26"/>
      <c r="AK142" s="26"/>
      <c r="AL142" s="26">
        <v>1</v>
      </c>
      <c r="AO142" s="26">
        <v>0</v>
      </c>
      <c r="AP142" s="26">
        <v>0</v>
      </c>
      <c r="AQ142" s="26"/>
      <c r="AR142" s="26"/>
      <c r="AU142" s="121"/>
      <c r="AV142" s="121"/>
      <c r="AY142" s="26">
        <v>2</v>
      </c>
    </row>
    <row r="143" spans="3:51">
      <c r="C143">
        <v>134</v>
      </c>
      <c r="D143" s="26">
        <v>69</v>
      </c>
      <c r="E143" s="26">
        <v>35</v>
      </c>
      <c r="F143" s="71"/>
      <c r="G143" s="71"/>
      <c r="I143" s="46">
        <v>1.1551155115511551</v>
      </c>
      <c r="L143" s="26">
        <v>1</v>
      </c>
      <c r="M143" s="53">
        <v>30</v>
      </c>
      <c r="N143" s="26">
        <v>5</v>
      </c>
      <c r="P143" s="24">
        <v>0</v>
      </c>
      <c r="Q143" s="26" t="s">
        <v>143</v>
      </c>
      <c r="W143" s="45">
        <v>1.77</v>
      </c>
      <c r="X143" s="26"/>
      <c r="Y143" s="26">
        <v>2</v>
      </c>
      <c r="Z143" s="26">
        <v>98</v>
      </c>
      <c r="AA143" s="26" t="s">
        <v>49</v>
      </c>
      <c r="AB143" s="26"/>
      <c r="AC143" s="26"/>
      <c r="AD143" s="26"/>
      <c r="AE143" s="26" t="s">
        <v>143</v>
      </c>
      <c r="AF143" s="26">
        <v>1</v>
      </c>
      <c r="AG143" s="26">
        <v>25</v>
      </c>
      <c r="AH143" s="26" t="s">
        <v>67</v>
      </c>
      <c r="AI143" s="26">
        <v>0</v>
      </c>
      <c r="AJ143" s="26"/>
      <c r="AK143" s="26"/>
      <c r="AL143" s="26">
        <v>3</v>
      </c>
      <c r="AO143" s="26">
        <v>0</v>
      </c>
      <c r="AP143" s="26">
        <v>0</v>
      </c>
      <c r="AQ143" s="26">
        <v>0</v>
      </c>
      <c r="AR143" s="26"/>
      <c r="AU143" s="121"/>
      <c r="AV143" s="121"/>
      <c r="AY143" s="26">
        <v>2</v>
      </c>
    </row>
    <row r="144" spans="3:51">
      <c r="C144">
        <v>135</v>
      </c>
      <c r="D144" s="26">
        <v>80</v>
      </c>
      <c r="E144" s="26">
        <v>6.42</v>
      </c>
      <c r="F144" s="71"/>
      <c r="G144" s="71"/>
      <c r="I144" s="46">
        <v>0.3396825396825397</v>
      </c>
      <c r="L144" s="26">
        <v>0</v>
      </c>
      <c r="M144" s="53">
        <v>18</v>
      </c>
      <c r="N144" s="26">
        <v>4</v>
      </c>
      <c r="P144" s="24">
        <v>0</v>
      </c>
      <c r="Q144" s="26" t="s">
        <v>141</v>
      </c>
      <c r="W144" s="45">
        <v>0.19</v>
      </c>
      <c r="X144" s="26"/>
      <c r="Y144" s="26">
        <v>2</v>
      </c>
      <c r="Z144" s="26">
        <v>85</v>
      </c>
      <c r="AA144" s="26" t="s">
        <v>123</v>
      </c>
      <c r="AB144" s="26"/>
      <c r="AC144" s="26"/>
      <c r="AD144" s="26"/>
      <c r="AE144" s="26" t="s">
        <v>141</v>
      </c>
      <c r="AF144" s="26">
        <v>0</v>
      </c>
      <c r="AG144" s="26"/>
      <c r="AH144" s="26"/>
      <c r="AI144" s="26">
        <v>2</v>
      </c>
      <c r="AJ144" s="26">
        <v>30</v>
      </c>
      <c r="AK144" s="26" t="s">
        <v>81</v>
      </c>
      <c r="AL144" s="26">
        <v>3</v>
      </c>
      <c r="AO144" s="26">
        <v>0</v>
      </c>
      <c r="AP144" s="26">
        <v>0</v>
      </c>
      <c r="AQ144" s="26">
        <v>0</v>
      </c>
      <c r="AR144" s="26"/>
      <c r="AU144" s="121"/>
      <c r="AV144" s="121"/>
      <c r="AY144" s="26">
        <v>2</v>
      </c>
    </row>
    <row r="145" spans="3:51">
      <c r="C145">
        <v>136</v>
      </c>
      <c r="D145" s="27">
        <v>62</v>
      </c>
      <c r="E145" s="27">
        <v>42.7</v>
      </c>
      <c r="I145" s="46">
        <v>1.7217741935483872</v>
      </c>
      <c r="L145" s="27">
        <v>0</v>
      </c>
      <c r="M145" s="54">
        <v>24</v>
      </c>
      <c r="N145" s="27">
        <v>5</v>
      </c>
      <c r="P145" s="24">
        <v>0</v>
      </c>
      <c r="Q145" s="27" t="s">
        <v>142</v>
      </c>
      <c r="W145" s="66">
        <v>0.59</v>
      </c>
      <c r="X145" s="26"/>
      <c r="Y145" s="27">
        <v>2</v>
      </c>
      <c r="Z145" s="27">
        <v>85</v>
      </c>
      <c r="AA145" s="27" t="s">
        <v>42</v>
      </c>
      <c r="AB145" s="27"/>
      <c r="AC145" s="27"/>
      <c r="AD145" s="27"/>
      <c r="AE145" s="27" t="s">
        <v>142</v>
      </c>
      <c r="AF145" s="27">
        <v>0</v>
      </c>
      <c r="AG145" s="27"/>
      <c r="AH145" s="27"/>
      <c r="AI145" s="27">
        <v>3</v>
      </c>
      <c r="AJ145" s="27">
        <v>30</v>
      </c>
      <c r="AK145" s="27" t="s">
        <v>177</v>
      </c>
      <c r="AL145" s="27">
        <v>1</v>
      </c>
      <c r="AO145" s="27">
        <v>0</v>
      </c>
      <c r="AP145" s="27">
        <v>0</v>
      </c>
      <c r="AQ145" s="27">
        <v>0</v>
      </c>
      <c r="AR145" s="27"/>
      <c r="AU145" s="121"/>
      <c r="AV145" s="121"/>
      <c r="AY145" s="27">
        <v>2</v>
      </c>
    </row>
    <row r="146" spans="3:51">
      <c r="C146">
        <v>137</v>
      </c>
      <c r="D146" s="26">
        <v>70</v>
      </c>
      <c r="E146" s="26">
        <v>10</v>
      </c>
      <c r="F146" s="71"/>
      <c r="G146" s="71"/>
      <c r="I146" s="46">
        <v>0.28328611898016998</v>
      </c>
      <c r="L146" s="26">
        <v>0</v>
      </c>
      <c r="M146" s="53">
        <v>35</v>
      </c>
      <c r="N146" s="26">
        <v>4</v>
      </c>
      <c r="P146" s="24">
        <v>0</v>
      </c>
      <c r="Q146" s="26" t="s">
        <v>141</v>
      </c>
      <c r="W146" s="45">
        <v>0.43</v>
      </c>
      <c r="X146" s="26"/>
      <c r="Y146" s="26">
        <v>2</v>
      </c>
      <c r="Z146" s="26">
        <v>50</v>
      </c>
      <c r="AA146" s="26" t="s">
        <v>36</v>
      </c>
      <c r="AB146" s="26"/>
      <c r="AC146" s="26"/>
      <c r="AD146" s="26"/>
      <c r="AE146" s="26" t="s">
        <v>141</v>
      </c>
      <c r="AF146" s="26">
        <v>1</v>
      </c>
      <c r="AG146" s="26">
        <v>19</v>
      </c>
      <c r="AH146" s="26" t="s">
        <v>211</v>
      </c>
      <c r="AI146" s="26">
        <v>0</v>
      </c>
      <c r="AJ146" s="26"/>
      <c r="AK146" s="26"/>
      <c r="AL146" s="26">
        <v>2</v>
      </c>
      <c r="AO146" s="26">
        <v>0</v>
      </c>
      <c r="AP146" s="26">
        <v>0</v>
      </c>
      <c r="AQ146" s="26">
        <v>0</v>
      </c>
      <c r="AR146" s="26"/>
      <c r="AU146" s="121"/>
      <c r="AV146" s="121"/>
      <c r="AY146" s="26">
        <v>2</v>
      </c>
    </row>
    <row r="147" spans="3:51">
      <c r="C147">
        <v>138</v>
      </c>
      <c r="D147" s="26">
        <v>66</v>
      </c>
      <c r="E147" s="26">
        <v>3.7</v>
      </c>
      <c r="F147" s="71"/>
      <c r="G147" s="71"/>
      <c r="I147" s="46">
        <v>9.4629156010230184E-2</v>
      </c>
      <c r="L147" s="26">
        <v>1</v>
      </c>
      <c r="M147" s="53">
        <v>39</v>
      </c>
      <c r="N147" s="26">
        <v>5</v>
      </c>
      <c r="P147" s="24">
        <v>0</v>
      </c>
      <c r="Q147" s="26" t="s">
        <v>143</v>
      </c>
      <c r="W147" s="45">
        <v>0.34</v>
      </c>
      <c r="X147" s="26"/>
      <c r="Y147" s="26">
        <v>2</v>
      </c>
      <c r="Z147" s="26">
        <v>60</v>
      </c>
      <c r="AA147" s="26" t="s">
        <v>42</v>
      </c>
      <c r="AB147" s="26"/>
      <c r="AC147" s="26"/>
      <c r="AD147" s="26"/>
      <c r="AE147" s="26" t="s">
        <v>143</v>
      </c>
      <c r="AF147" s="26">
        <v>0</v>
      </c>
      <c r="AG147" s="26"/>
      <c r="AH147" s="26"/>
      <c r="AI147" s="26">
        <v>1</v>
      </c>
      <c r="AJ147" s="26">
        <v>10</v>
      </c>
      <c r="AK147" s="26" t="s">
        <v>179</v>
      </c>
      <c r="AL147" s="26">
        <v>2</v>
      </c>
      <c r="AO147" s="26">
        <v>0</v>
      </c>
      <c r="AP147" s="26">
        <v>0</v>
      </c>
      <c r="AQ147" s="26">
        <v>1</v>
      </c>
      <c r="AR147" s="26" t="s">
        <v>143</v>
      </c>
      <c r="AU147" s="121"/>
      <c r="AV147" s="121"/>
      <c r="AY147" s="26">
        <v>2</v>
      </c>
    </row>
    <row r="148" spans="3:51">
      <c r="C148">
        <v>139</v>
      </c>
      <c r="D148" s="26">
        <v>71</v>
      </c>
      <c r="E148" s="26">
        <v>4.9000000000000004</v>
      </c>
      <c r="F148" s="71"/>
      <c r="G148" s="71"/>
      <c r="I148" s="46">
        <v>0.13611111111111113</v>
      </c>
      <c r="L148" s="26">
        <v>1</v>
      </c>
      <c r="M148" s="53">
        <v>36</v>
      </c>
      <c r="N148" s="26">
        <v>5</v>
      </c>
      <c r="P148" s="24">
        <v>0</v>
      </c>
      <c r="Q148" s="26" t="s">
        <v>141</v>
      </c>
      <c r="W148" s="45">
        <v>2.1</v>
      </c>
      <c r="X148" s="26"/>
      <c r="Y148" s="26">
        <v>2</v>
      </c>
      <c r="Z148" s="26">
        <v>70</v>
      </c>
      <c r="AA148" s="26" t="s">
        <v>42</v>
      </c>
      <c r="AB148" s="26"/>
      <c r="AC148" s="26"/>
      <c r="AD148" s="26"/>
      <c r="AE148" s="26" t="s">
        <v>141</v>
      </c>
      <c r="AF148" s="26">
        <v>0</v>
      </c>
      <c r="AG148" s="26"/>
      <c r="AH148" s="26"/>
      <c r="AI148" s="26">
        <v>2</v>
      </c>
      <c r="AJ148" s="26">
        <v>50</v>
      </c>
      <c r="AK148" s="26" t="s">
        <v>42</v>
      </c>
      <c r="AL148" s="26">
        <v>2</v>
      </c>
      <c r="AO148" s="26">
        <v>0</v>
      </c>
      <c r="AP148" s="26">
        <v>0</v>
      </c>
      <c r="AQ148" s="26">
        <v>1</v>
      </c>
      <c r="AR148" s="26" t="s">
        <v>218</v>
      </c>
      <c r="AU148" s="121"/>
      <c r="AV148" s="121"/>
      <c r="AY148" s="26" t="s">
        <v>220</v>
      </c>
    </row>
    <row r="149" spans="3:51">
      <c r="C149">
        <v>140</v>
      </c>
      <c r="D149" s="26">
        <v>50</v>
      </c>
      <c r="E149" s="26">
        <v>4.9000000000000004</v>
      </c>
      <c r="F149" s="71"/>
      <c r="G149" s="71"/>
      <c r="I149" s="46">
        <v>0.16442953020134229</v>
      </c>
      <c r="L149" s="26">
        <v>0</v>
      </c>
      <c r="M149" s="53">
        <v>29</v>
      </c>
      <c r="N149" s="26">
        <v>4</v>
      </c>
      <c r="P149" s="24">
        <v>0</v>
      </c>
      <c r="Q149" s="26" t="s">
        <v>143</v>
      </c>
      <c r="W149" s="45">
        <v>0.13</v>
      </c>
      <c r="X149" s="26"/>
      <c r="Y149" s="26">
        <v>2</v>
      </c>
      <c r="Z149" s="26">
        <v>50</v>
      </c>
      <c r="AA149" s="26" t="s">
        <v>123</v>
      </c>
      <c r="AB149" s="26"/>
      <c r="AC149" s="26"/>
      <c r="AD149" s="26"/>
      <c r="AE149" s="26" t="s">
        <v>143</v>
      </c>
      <c r="AF149" s="26">
        <v>2</v>
      </c>
      <c r="AG149" s="26">
        <v>25</v>
      </c>
      <c r="AH149" s="26" t="s">
        <v>81</v>
      </c>
      <c r="AI149" s="26">
        <v>1</v>
      </c>
      <c r="AJ149" s="26">
        <v>10</v>
      </c>
      <c r="AK149" s="26" t="s">
        <v>54</v>
      </c>
      <c r="AL149" s="26">
        <v>2</v>
      </c>
      <c r="AO149" s="26">
        <v>0</v>
      </c>
      <c r="AP149" s="26">
        <v>0</v>
      </c>
      <c r="AQ149" s="26">
        <v>0</v>
      </c>
      <c r="AR149" s="26"/>
      <c r="AU149" s="121"/>
      <c r="AV149" s="121"/>
      <c r="AY149" s="26">
        <v>2</v>
      </c>
    </row>
    <row r="150" spans="3:51">
      <c r="C150">
        <v>141</v>
      </c>
      <c r="D150" s="26">
        <v>46</v>
      </c>
      <c r="E150" s="26">
        <v>24.8</v>
      </c>
      <c r="F150" s="71"/>
      <c r="G150" s="71"/>
      <c r="I150" s="46">
        <v>0.72941176470588243</v>
      </c>
      <c r="L150" s="26">
        <v>0</v>
      </c>
      <c r="M150" s="53">
        <v>34</v>
      </c>
      <c r="N150" s="26">
        <v>4</v>
      </c>
      <c r="P150" s="24">
        <v>0</v>
      </c>
      <c r="Q150" s="26" t="s">
        <v>141</v>
      </c>
      <c r="W150" s="45">
        <v>0.11</v>
      </c>
      <c r="X150" s="26"/>
      <c r="Y150" s="26">
        <v>2</v>
      </c>
      <c r="Z150" s="26">
        <v>50</v>
      </c>
      <c r="AA150" s="26" t="s">
        <v>177</v>
      </c>
      <c r="AB150" s="26"/>
      <c r="AC150" s="26"/>
      <c r="AD150" s="26"/>
      <c r="AE150" s="26" t="s">
        <v>141</v>
      </c>
      <c r="AF150" s="26"/>
      <c r="AG150" s="26"/>
      <c r="AH150" s="26"/>
      <c r="AI150" s="26"/>
      <c r="AJ150" s="26"/>
      <c r="AK150" s="26"/>
      <c r="AL150" s="26">
        <v>3</v>
      </c>
      <c r="AO150" s="26">
        <v>0</v>
      </c>
      <c r="AP150" s="26">
        <v>0</v>
      </c>
      <c r="AQ150" s="26">
        <v>0</v>
      </c>
      <c r="AR150" s="26"/>
      <c r="AU150" s="121"/>
      <c r="AV150" s="121"/>
      <c r="AY150" s="26">
        <v>2</v>
      </c>
    </row>
    <row r="151" spans="3:51">
      <c r="C151">
        <v>142</v>
      </c>
      <c r="D151" s="26">
        <v>76</v>
      </c>
      <c r="E151" s="26">
        <v>11</v>
      </c>
      <c r="F151" s="71"/>
      <c r="G151" s="71"/>
      <c r="I151" s="46">
        <v>0.27777777777777779</v>
      </c>
      <c r="L151" s="26">
        <v>0</v>
      </c>
      <c r="M151" s="53">
        <v>39</v>
      </c>
      <c r="N151" s="26">
        <v>5</v>
      </c>
      <c r="P151" s="24">
        <v>0</v>
      </c>
      <c r="Q151" s="26" t="s">
        <v>143</v>
      </c>
      <c r="W151" s="45">
        <v>0.94</v>
      </c>
      <c r="X151" s="26"/>
      <c r="Y151" s="26">
        <v>2</v>
      </c>
      <c r="Z151" s="26">
        <v>90</v>
      </c>
      <c r="AA151" s="26" t="s">
        <v>49</v>
      </c>
      <c r="AB151" s="26"/>
      <c r="AC151" s="26"/>
      <c r="AD151" s="26"/>
      <c r="AE151" s="26" t="s">
        <v>143</v>
      </c>
      <c r="AF151" s="26">
        <v>1</v>
      </c>
      <c r="AG151" s="26">
        <v>10</v>
      </c>
      <c r="AH151" s="26" t="s">
        <v>180</v>
      </c>
      <c r="AI151" s="26">
        <v>0</v>
      </c>
      <c r="AJ151" s="26"/>
      <c r="AK151" s="26"/>
      <c r="AL151" s="26">
        <v>4</v>
      </c>
      <c r="AO151" s="26">
        <v>0</v>
      </c>
      <c r="AP151" s="26">
        <v>0</v>
      </c>
      <c r="AQ151" s="26">
        <v>0</v>
      </c>
      <c r="AR151" s="26"/>
      <c r="AU151" s="121"/>
      <c r="AV151" s="121"/>
      <c r="AY151" s="26">
        <v>2</v>
      </c>
    </row>
    <row r="152" spans="3:51">
      <c r="C152">
        <v>143</v>
      </c>
      <c r="D152" s="26">
        <v>73</v>
      </c>
      <c r="E152" s="26">
        <v>4.49</v>
      </c>
      <c r="F152" s="71"/>
      <c r="G152" s="71"/>
      <c r="I152" s="46">
        <v>0.1462540716612378</v>
      </c>
      <c r="L152" s="26">
        <v>0</v>
      </c>
      <c r="M152" s="53">
        <v>30</v>
      </c>
      <c r="N152" s="26">
        <v>5</v>
      </c>
      <c r="P152" s="24">
        <v>0</v>
      </c>
      <c r="Q152" s="26" t="s">
        <v>141</v>
      </c>
      <c r="W152" s="45">
        <v>1.69</v>
      </c>
      <c r="X152" s="26"/>
      <c r="Y152" s="26">
        <v>2</v>
      </c>
      <c r="Z152" s="26">
        <v>70</v>
      </c>
      <c r="AA152" s="26" t="s">
        <v>49</v>
      </c>
      <c r="AB152" s="26"/>
      <c r="AC152" s="26"/>
      <c r="AD152" s="26"/>
      <c r="AE152" s="26" t="s">
        <v>141</v>
      </c>
      <c r="AF152" s="26">
        <v>2</v>
      </c>
      <c r="AG152" s="26">
        <v>60</v>
      </c>
      <c r="AH152" s="26" t="s">
        <v>123</v>
      </c>
      <c r="AI152" s="26">
        <v>2</v>
      </c>
      <c r="AJ152" s="26">
        <v>10</v>
      </c>
      <c r="AK152" s="26" t="s">
        <v>86</v>
      </c>
      <c r="AL152" s="26">
        <v>4</v>
      </c>
      <c r="AO152" s="26">
        <v>0</v>
      </c>
      <c r="AP152" s="26">
        <v>0</v>
      </c>
      <c r="AQ152" s="26">
        <v>1</v>
      </c>
      <c r="AR152" s="26" t="s">
        <v>142</v>
      </c>
      <c r="AU152" s="121">
        <v>1</v>
      </c>
      <c r="AV152" s="121"/>
      <c r="AY152" s="26" t="s">
        <v>221</v>
      </c>
    </row>
    <row r="153" spans="3:51">
      <c r="C153">
        <v>144</v>
      </c>
      <c r="D153" s="26">
        <v>62</v>
      </c>
      <c r="E153" s="26">
        <v>6.24</v>
      </c>
      <c r="F153" s="71"/>
      <c r="G153" s="71"/>
      <c r="I153" s="46">
        <v>8.727272727272728E-2</v>
      </c>
      <c r="L153" s="26">
        <v>0</v>
      </c>
      <c r="M153" s="53">
        <v>71</v>
      </c>
      <c r="N153" s="26">
        <v>4</v>
      </c>
      <c r="P153" s="24">
        <v>0</v>
      </c>
      <c r="Q153" s="26" t="s">
        <v>141</v>
      </c>
      <c r="W153" s="45">
        <v>0.64</v>
      </c>
      <c r="X153" s="26"/>
      <c r="Y153" s="26">
        <v>1</v>
      </c>
      <c r="Z153" s="26">
        <v>30</v>
      </c>
      <c r="AA153" s="26" t="s">
        <v>181</v>
      </c>
      <c r="AB153" s="26"/>
      <c r="AC153" s="26"/>
      <c r="AD153" s="26"/>
      <c r="AE153" s="26" t="s">
        <v>141</v>
      </c>
      <c r="AF153" s="26"/>
      <c r="AG153" s="26"/>
      <c r="AH153" s="26"/>
      <c r="AI153" s="26"/>
      <c r="AJ153" s="26"/>
      <c r="AK153" s="26"/>
      <c r="AL153" s="26">
        <v>4</v>
      </c>
      <c r="AO153" s="26">
        <v>0</v>
      </c>
      <c r="AP153" s="26">
        <v>0</v>
      </c>
      <c r="AQ153" s="26">
        <v>0</v>
      </c>
      <c r="AR153" s="26"/>
      <c r="AU153" s="121"/>
      <c r="AV153" s="121"/>
      <c r="AY153" s="26">
        <v>2</v>
      </c>
    </row>
    <row r="154" spans="3:51">
      <c r="C154">
        <v>145</v>
      </c>
      <c r="D154" s="26">
        <v>64</v>
      </c>
      <c r="E154" s="26">
        <v>9.8000000000000007</v>
      </c>
      <c r="F154" s="71"/>
      <c r="G154" s="71"/>
      <c r="I154" s="46">
        <v>0.10828729281767957</v>
      </c>
      <c r="L154" s="26">
        <v>0</v>
      </c>
      <c r="M154" s="53">
        <v>90</v>
      </c>
      <c r="N154" s="26">
        <v>4</v>
      </c>
      <c r="P154" s="24">
        <v>0</v>
      </c>
      <c r="Q154" s="26" t="s">
        <v>143</v>
      </c>
      <c r="W154" s="45">
        <v>0.19</v>
      </c>
      <c r="X154" s="26"/>
      <c r="Y154" s="26">
        <v>3</v>
      </c>
      <c r="Z154" s="26">
        <v>15</v>
      </c>
      <c r="AA154" s="26" t="s">
        <v>55</v>
      </c>
      <c r="AB154" s="26"/>
      <c r="AC154" s="26"/>
      <c r="AD154" s="26"/>
      <c r="AE154" s="26" t="s">
        <v>143</v>
      </c>
      <c r="AF154" s="26">
        <v>1</v>
      </c>
      <c r="AG154" s="26">
        <v>10</v>
      </c>
      <c r="AH154" s="26" t="s">
        <v>179</v>
      </c>
      <c r="AI154" s="26">
        <v>1</v>
      </c>
      <c r="AJ154" s="26">
        <v>40</v>
      </c>
      <c r="AK154" s="26" t="s">
        <v>55</v>
      </c>
      <c r="AL154" s="26">
        <v>4</v>
      </c>
      <c r="AO154" s="26">
        <v>0</v>
      </c>
      <c r="AP154" s="26">
        <v>0</v>
      </c>
      <c r="AQ154" s="26">
        <v>0</v>
      </c>
      <c r="AR154" s="26"/>
      <c r="AU154" s="121"/>
      <c r="AV154" s="121"/>
      <c r="AY154" s="26">
        <v>2</v>
      </c>
    </row>
    <row r="155" spans="3:51">
      <c r="C155">
        <v>146</v>
      </c>
      <c r="D155" s="26">
        <v>60</v>
      </c>
      <c r="E155" s="26">
        <v>4.5999999999999996</v>
      </c>
      <c r="F155" s="71"/>
      <c r="G155" s="71"/>
      <c r="I155" s="46">
        <v>0.184</v>
      </c>
      <c r="L155" s="26">
        <v>0</v>
      </c>
      <c r="M155" s="53">
        <v>25</v>
      </c>
      <c r="N155" s="26">
        <v>5</v>
      </c>
      <c r="P155" s="24">
        <v>0</v>
      </c>
      <c r="Q155" s="26" t="s">
        <v>141</v>
      </c>
      <c r="W155" s="45">
        <v>0.28999999999999998</v>
      </c>
      <c r="X155" s="26"/>
      <c r="Y155" s="26">
        <v>2</v>
      </c>
      <c r="Z155" s="26">
        <v>50</v>
      </c>
      <c r="AA155" s="26" t="s">
        <v>86</v>
      </c>
      <c r="AB155" s="26"/>
      <c r="AC155" s="26"/>
      <c r="AD155" s="26"/>
      <c r="AE155" s="26" t="s">
        <v>141</v>
      </c>
      <c r="AF155" s="26">
        <v>1</v>
      </c>
      <c r="AG155" s="26">
        <v>20</v>
      </c>
      <c r="AH155" s="26" t="s">
        <v>179</v>
      </c>
      <c r="AI155" s="26">
        <v>0</v>
      </c>
      <c r="AJ155" s="26"/>
      <c r="AK155" s="26"/>
      <c r="AL155" s="26">
        <v>2</v>
      </c>
      <c r="AO155" s="26">
        <v>1</v>
      </c>
      <c r="AP155" s="26">
        <v>0</v>
      </c>
      <c r="AQ155" s="26">
        <v>0</v>
      </c>
      <c r="AR155" s="26"/>
      <c r="AU155" s="121"/>
      <c r="AV155" s="121"/>
      <c r="AY155" s="26">
        <v>2</v>
      </c>
    </row>
    <row r="156" spans="3:51">
      <c r="C156">
        <v>147</v>
      </c>
      <c r="D156" s="26">
        <v>63</v>
      </c>
      <c r="E156" s="26">
        <v>7.55</v>
      </c>
      <c r="F156" s="71"/>
      <c r="G156" s="71"/>
      <c r="I156" s="46">
        <v>0.32403433476394849</v>
      </c>
      <c r="L156" s="26">
        <v>0</v>
      </c>
      <c r="M156" s="53">
        <v>23</v>
      </c>
      <c r="N156" s="26">
        <v>5</v>
      </c>
      <c r="P156" s="24">
        <v>0</v>
      </c>
      <c r="Q156" s="26" t="s">
        <v>140</v>
      </c>
      <c r="W156" s="45">
        <v>0.82</v>
      </c>
      <c r="X156" s="26"/>
      <c r="Y156" s="26">
        <v>2</v>
      </c>
      <c r="Z156" s="26">
        <v>70</v>
      </c>
      <c r="AA156" s="26" t="s">
        <v>129</v>
      </c>
      <c r="AB156" s="26"/>
      <c r="AC156" s="26"/>
      <c r="AD156" s="26"/>
      <c r="AE156" s="26" t="s">
        <v>140</v>
      </c>
      <c r="AF156" s="26"/>
      <c r="AG156" s="26"/>
      <c r="AH156" s="26"/>
      <c r="AI156" s="26"/>
      <c r="AJ156" s="26"/>
      <c r="AK156" s="26"/>
      <c r="AL156" s="26">
        <v>2</v>
      </c>
      <c r="AO156" s="26">
        <v>0</v>
      </c>
      <c r="AP156" s="26">
        <v>0</v>
      </c>
      <c r="AQ156" s="26">
        <v>0</v>
      </c>
      <c r="AR156" s="26"/>
      <c r="AU156" s="121"/>
      <c r="AV156" s="121"/>
      <c r="AY156" s="26">
        <v>2</v>
      </c>
    </row>
    <row r="157" spans="3:51">
      <c r="C157">
        <v>148</v>
      </c>
      <c r="D157" s="26">
        <v>76</v>
      </c>
      <c r="E157" s="26">
        <v>4.4000000000000004</v>
      </c>
      <c r="F157" s="71"/>
      <c r="G157" s="71"/>
      <c r="I157" s="46">
        <v>0.17120622568093388</v>
      </c>
      <c r="L157" s="26">
        <v>1</v>
      </c>
      <c r="M157" s="53">
        <v>25</v>
      </c>
      <c r="N157" s="26">
        <v>5</v>
      </c>
      <c r="P157" s="24">
        <v>0</v>
      </c>
      <c r="Q157" s="26" t="s">
        <v>141</v>
      </c>
      <c r="W157" s="45">
        <v>0.39</v>
      </c>
      <c r="X157" s="26"/>
      <c r="Y157" s="26">
        <v>3</v>
      </c>
      <c r="Z157" s="26">
        <v>75</v>
      </c>
      <c r="AA157" s="26" t="s">
        <v>42</v>
      </c>
      <c r="AB157" s="26"/>
      <c r="AC157" s="26"/>
      <c r="AD157" s="26"/>
      <c r="AE157" s="26" t="s">
        <v>141</v>
      </c>
      <c r="AF157" s="26">
        <v>2</v>
      </c>
      <c r="AG157" s="26">
        <v>65</v>
      </c>
      <c r="AH157" s="26" t="s">
        <v>65</v>
      </c>
      <c r="AI157" s="26">
        <v>1</v>
      </c>
      <c r="AJ157" s="26">
        <v>2</v>
      </c>
      <c r="AK157" s="26" t="s">
        <v>81</v>
      </c>
      <c r="AL157" s="26">
        <v>4</v>
      </c>
      <c r="AO157" s="26">
        <v>0</v>
      </c>
      <c r="AP157" s="26">
        <v>0</v>
      </c>
      <c r="AQ157" s="26">
        <v>0</v>
      </c>
      <c r="AR157" s="26"/>
      <c r="AU157" s="121"/>
      <c r="AV157" s="121"/>
      <c r="AY157" s="26">
        <v>2</v>
      </c>
    </row>
    <row r="158" spans="3:51">
      <c r="C158">
        <v>149</v>
      </c>
      <c r="D158" s="26">
        <v>68</v>
      </c>
      <c r="E158" s="26">
        <v>6.3</v>
      </c>
      <c r="F158" s="71"/>
      <c r="G158" s="71"/>
      <c r="I158" s="46">
        <v>9.7222222222222224E-2</v>
      </c>
      <c r="L158" s="26">
        <v>0</v>
      </c>
      <c r="M158" s="53">
        <v>64</v>
      </c>
      <c r="N158" s="26">
        <v>4</v>
      </c>
      <c r="P158" s="24">
        <v>0</v>
      </c>
      <c r="Q158" s="26" t="s">
        <v>141</v>
      </c>
      <c r="W158" s="45">
        <v>0.67</v>
      </c>
      <c r="X158" s="26"/>
      <c r="Y158" s="26">
        <v>2</v>
      </c>
      <c r="Z158" s="26">
        <v>5</v>
      </c>
      <c r="AA158" s="26" t="s">
        <v>54</v>
      </c>
      <c r="AB158" s="26"/>
      <c r="AC158" s="26"/>
      <c r="AD158" s="26"/>
      <c r="AE158" s="26" t="s">
        <v>141</v>
      </c>
      <c r="AF158" s="26"/>
      <c r="AG158" s="26"/>
      <c r="AH158" s="26"/>
      <c r="AI158" s="26"/>
      <c r="AJ158" s="26"/>
      <c r="AK158" s="26"/>
      <c r="AL158" s="26">
        <v>2</v>
      </c>
      <c r="AO158" s="26">
        <v>0</v>
      </c>
      <c r="AP158" s="26">
        <v>0</v>
      </c>
      <c r="AQ158" s="26">
        <v>0</v>
      </c>
      <c r="AR158" s="26"/>
      <c r="AU158" s="121"/>
      <c r="AV158" s="121"/>
      <c r="AY158" s="26">
        <v>2</v>
      </c>
    </row>
    <row r="159" spans="3:51">
      <c r="C159">
        <v>150</v>
      </c>
      <c r="D159" s="26">
        <v>61</v>
      </c>
      <c r="E159" s="26">
        <v>4.3</v>
      </c>
      <c r="F159" s="71"/>
      <c r="G159" s="71"/>
      <c r="I159" s="46">
        <v>0.11345646437994723</v>
      </c>
      <c r="L159" s="26">
        <v>1</v>
      </c>
      <c r="M159" s="53">
        <v>37</v>
      </c>
      <c r="N159" s="26">
        <v>4</v>
      </c>
      <c r="P159" s="24">
        <v>0</v>
      </c>
      <c r="Q159" s="26" t="s">
        <v>139</v>
      </c>
      <c r="W159" s="45">
        <v>0.72</v>
      </c>
      <c r="X159" s="26"/>
      <c r="Y159" s="26">
        <v>2</v>
      </c>
      <c r="Z159" s="26">
        <v>60</v>
      </c>
      <c r="AA159" s="26" t="s">
        <v>42</v>
      </c>
      <c r="AB159" s="26"/>
      <c r="AC159" s="26"/>
      <c r="AD159" s="26"/>
      <c r="AE159" s="26" t="s">
        <v>139</v>
      </c>
      <c r="AF159" s="26">
        <v>1</v>
      </c>
      <c r="AG159" s="26">
        <v>10</v>
      </c>
      <c r="AH159" s="26" t="s">
        <v>81</v>
      </c>
      <c r="AI159" s="26">
        <v>1</v>
      </c>
      <c r="AJ159" s="26">
        <v>40</v>
      </c>
      <c r="AK159" s="26" t="s">
        <v>86</v>
      </c>
      <c r="AL159" s="26">
        <v>1</v>
      </c>
      <c r="AO159" s="26">
        <v>0</v>
      </c>
      <c r="AP159" s="26">
        <v>0</v>
      </c>
      <c r="AQ159" s="26">
        <v>0</v>
      </c>
      <c r="AR159" s="26"/>
      <c r="AU159" s="121"/>
      <c r="AV159" s="121"/>
      <c r="AY159" s="26">
        <v>2</v>
      </c>
    </row>
    <row r="160" spans="3:51">
      <c r="C160">
        <v>151</v>
      </c>
      <c r="D160" s="26">
        <v>59</v>
      </c>
      <c r="E160" s="26">
        <v>3.25</v>
      </c>
      <c r="F160" s="71"/>
      <c r="G160" s="71"/>
      <c r="I160" s="46">
        <v>6.8421052631578952E-2</v>
      </c>
      <c r="L160" s="26">
        <v>0</v>
      </c>
      <c r="M160" s="53">
        <v>47</v>
      </c>
      <c r="N160" s="26">
        <v>4</v>
      </c>
      <c r="P160" s="24">
        <v>0</v>
      </c>
      <c r="Q160" s="26" t="s">
        <v>141</v>
      </c>
      <c r="W160" s="45">
        <v>0.18</v>
      </c>
      <c r="X160" s="26"/>
      <c r="Y160" s="26">
        <v>2</v>
      </c>
      <c r="Z160" s="26">
        <v>30</v>
      </c>
      <c r="AA160" s="26" t="s">
        <v>123</v>
      </c>
      <c r="AB160" s="26"/>
      <c r="AC160" s="26"/>
      <c r="AD160" s="26"/>
      <c r="AE160" s="26" t="s">
        <v>141</v>
      </c>
      <c r="AF160" s="26">
        <v>2</v>
      </c>
      <c r="AG160" s="26">
        <v>20</v>
      </c>
      <c r="AH160" s="26" t="s">
        <v>73</v>
      </c>
      <c r="AI160" s="26">
        <v>0</v>
      </c>
      <c r="AJ160" s="26"/>
      <c r="AK160" s="26"/>
      <c r="AL160" s="26">
        <v>2</v>
      </c>
      <c r="AO160" s="26">
        <v>0</v>
      </c>
      <c r="AP160" s="26">
        <v>0</v>
      </c>
      <c r="AQ160" s="26">
        <v>0</v>
      </c>
      <c r="AR160" s="26"/>
      <c r="AU160" s="121"/>
      <c r="AV160" s="121"/>
      <c r="AY160" s="26">
        <v>2</v>
      </c>
    </row>
    <row r="161" spans="3:51">
      <c r="C161">
        <v>152</v>
      </c>
      <c r="D161" s="26">
        <v>65</v>
      </c>
      <c r="E161" s="26">
        <v>7.95</v>
      </c>
      <c r="F161" s="71"/>
      <c r="G161" s="71"/>
      <c r="I161" s="46">
        <v>0.19581280788177341</v>
      </c>
      <c r="L161" s="26">
        <v>1</v>
      </c>
      <c r="M161" s="53">
        <v>40</v>
      </c>
      <c r="N161" s="26">
        <v>5</v>
      </c>
      <c r="P161" s="24">
        <v>0</v>
      </c>
      <c r="Q161" s="26" t="s">
        <v>143</v>
      </c>
      <c r="W161" s="45">
        <v>0.95</v>
      </c>
      <c r="X161" s="26"/>
      <c r="Y161" s="26">
        <v>2</v>
      </c>
      <c r="Z161" s="26">
        <v>60</v>
      </c>
      <c r="AA161" s="26" t="s">
        <v>178</v>
      </c>
      <c r="AB161" s="26"/>
      <c r="AC161" s="26"/>
      <c r="AD161" s="26"/>
      <c r="AE161" s="26" t="s">
        <v>143</v>
      </c>
      <c r="AF161" s="26">
        <v>1</v>
      </c>
      <c r="AG161" s="26">
        <v>20</v>
      </c>
      <c r="AH161" s="26" t="s">
        <v>180</v>
      </c>
      <c r="AI161" s="26">
        <v>2</v>
      </c>
      <c r="AJ161" s="26">
        <v>15</v>
      </c>
      <c r="AK161" s="26" t="s">
        <v>180</v>
      </c>
      <c r="AL161" s="26">
        <v>4</v>
      </c>
      <c r="AO161" s="26">
        <v>0</v>
      </c>
      <c r="AP161" s="26">
        <v>0</v>
      </c>
      <c r="AQ161" s="26">
        <v>1</v>
      </c>
      <c r="AR161" s="26" t="s">
        <v>143</v>
      </c>
      <c r="AU161" s="121"/>
      <c r="AV161" s="121"/>
      <c r="AY161" s="26" t="s">
        <v>220</v>
      </c>
    </row>
    <row r="162" spans="3:51">
      <c r="C162">
        <v>153</v>
      </c>
      <c r="D162" s="26">
        <v>61</v>
      </c>
      <c r="E162" s="26">
        <v>7</v>
      </c>
      <c r="F162" s="71"/>
      <c r="G162" s="71"/>
      <c r="I162" s="46">
        <v>8.8607594936708861E-2</v>
      </c>
      <c r="L162" s="26">
        <v>1</v>
      </c>
      <c r="M162" s="53">
        <v>79</v>
      </c>
      <c r="N162" s="26">
        <v>3</v>
      </c>
      <c r="P162" s="24">
        <v>0</v>
      </c>
      <c r="Q162" s="26" t="s">
        <v>143</v>
      </c>
      <c r="W162" s="45">
        <v>1.25</v>
      </c>
      <c r="X162" s="26"/>
      <c r="Y162" s="26">
        <v>2</v>
      </c>
      <c r="Z162" s="26">
        <v>10</v>
      </c>
      <c r="AA162" s="26" t="s">
        <v>177</v>
      </c>
      <c r="AB162" s="26"/>
      <c r="AC162" s="26"/>
      <c r="AD162" s="26"/>
      <c r="AE162" s="26" t="s">
        <v>143</v>
      </c>
      <c r="AF162" s="26"/>
      <c r="AG162" s="26"/>
      <c r="AH162" s="26"/>
      <c r="AI162" s="26"/>
      <c r="AJ162" s="26"/>
      <c r="AK162" s="26"/>
      <c r="AL162" s="26">
        <v>4</v>
      </c>
      <c r="AO162" s="26">
        <v>0</v>
      </c>
      <c r="AP162" s="26">
        <v>0</v>
      </c>
      <c r="AQ162" s="26">
        <v>0</v>
      </c>
      <c r="AR162" s="26"/>
      <c r="AU162" s="121"/>
      <c r="AV162" s="121"/>
      <c r="AY162" s="26">
        <v>2</v>
      </c>
    </row>
    <row r="163" spans="3:51">
      <c r="C163">
        <v>154</v>
      </c>
      <c r="D163" s="26">
        <v>57</v>
      </c>
      <c r="E163" s="26">
        <v>4.8899999999999997</v>
      </c>
      <c r="F163" s="71"/>
      <c r="G163" s="71"/>
      <c r="I163" s="46">
        <v>9.3320610687022895E-2</v>
      </c>
      <c r="L163" s="26">
        <v>0</v>
      </c>
      <c r="M163" s="53">
        <v>52</v>
      </c>
      <c r="N163" s="26">
        <v>5</v>
      </c>
      <c r="P163" s="24">
        <v>0</v>
      </c>
      <c r="Q163" s="26" t="s">
        <v>142</v>
      </c>
      <c r="W163" s="45">
        <v>0.72</v>
      </c>
      <c r="X163" s="26"/>
      <c r="Y163" s="26">
        <v>3</v>
      </c>
      <c r="Z163" s="26">
        <v>65</v>
      </c>
      <c r="AA163" s="26" t="s">
        <v>49</v>
      </c>
      <c r="AB163" s="26"/>
      <c r="AC163" s="26"/>
      <c r="AD163" s="26"/>
      <c r="AE163" s="26" t="s">
        <v>142</v>
      </c>
      <c r="AF163" s="26">
        <v>0</v>
      </c>
      <c r="AG163" s="26"/>
      <c r="AH163" s="26"/>
      <c r="AI163" s="26">
        <v>3</v>
      </c>
      <c r="AJ163" s="26">
        <v>20</v>
      </c>
      <c r="AK163" s="26" t="s">
        <v>65</v>
      </c>
      <c r="AL163" s="26">
        <v>3</v>
      </c>
      <c r="AO163" s="26">
        <v>0</v>
      </c>
      <c r="AP163" s="26">
        <v>0</v>
      </c>
      <c r="AQ163" s="26">
        <v>1</v>
      </c>
      <c r="AR163" s="26" t="s">
        <v>142</v>
      </c>
      <c r="AU163" s="121"/>
      <c r="AV163" s="121"/>
      <c r="AY163" s="26" t="s">
        <v>220</v>
      </c>
    </row>
    <row r="164" spans="3:51">
      <c r="C164">
        <v>155</v>
      </c>
      <c r="D164" s="26">
        <v>79</v>
      </c>
      <c r="E164" s="26">
        <v>4.4000000000000004</v>
      </c>
      <c r="F164" s="71"/>
      <c r="G164" s="71"/>
      <c r="I164" s="46">
        <v>9.1858037578288115E-2</v>
      </c>
      <c r="L164" s="26">
        <v>0</v>
      </c>
      <c r="M164" s="53">
        <v>47</v>
      </c>
      <c r="N164" s="26">
        <v>5</v>
      </c>
      <c r="P164" s="24">
        <v>0</v>
      </c>
      <c r="Q164" s="26" t="s">
        <v>141</v>
      </c>
      <c r="W164" s="45">
        <v>0.56999999999999995</v>
      </c>
      <c r="X164" s="26"/>
      <c r="Y164" s="26">
        <v>2</v>
      </c>
      <c r="Z164" s="26">
        <v>70</v>
      </c>
      <c r="AA164" s="26" t="s">
        <v>129</v>
      </c>
      <c r="AB164" s="26"/>
      <c r="AC164" s="26"/>
      <c r="AD164" s="26"/>
      <c r="AE164" s="26" t="s">
        <v>141</v>
      </c>
      <c r="AF164" s="26"/>
      <c r="AG164" s="26"/>
      <c r="AH164" s="26"/>
      <c r="AI164" s="26"/>
      <c r="AJ164" s="26"/>
      <c r="AK164" s="26"/>
      <c r="AL164" s="26">
        <v>2</v>
      </c>
      <c r="AO164" s="26">
        <v>0</v>
      </c>
      <c r="AP164" s="26">
        <v>0</v>
      </c>
      <c r="AQ164" s="26">
        <v>0</v>
      </c>
      <c r="AR164" s="26"/>
      <c r="AU164" s="121"/>
      <c r="AV164" s="121"/>
      <c r="AY164" s="26">
        <v>2</v>
      </c>
    </row>
    <row r="165" spans="3:51">
      <c r="C165">
        <v>156</v>
      </c>
      <c r="D165" s="26">
        <v>67</v>
      </c>
      <c r="E165" s="26">
        <v>9</v>
      </c>
      <c r="F165" s="71"/>
      <c r="G165" s="71"/>
      <c r="I165" s="46">
        <v>0.12569832402234637</v>
      </c>
      <c r="L165" s="26">
        <v>0</v>
      </c>
      <c r="M165" s="53">
        <v>71</v>
      </c>
      <c r="N165" s="26">
        <v>4</v>
      </c>
      <c r="P165" s="24">
        <v>0</v>
      </c>
      <c r="Q165" s="26" t="s">
        <v>143</v>
      </c>
      <c r="W165" s="45">
        <v>0.32</v>
      </c>
      <c r="X165" s="26"/>
      <c r="Y165" s="26">
        <v>2</v>
      </c>
      <c r="Z165" s="26">
        <v>30</v>
      </c>
      <c r="AA165" s="26" t="s">
        <v>42</v>
      </c>
      <c r="AB165" s="26"/>
      <c r="AC165" s="26"/>
      <c r="AD165" s="26"/>
      <c r="AE165" s="26" t="s">
        <v>143</v>
      </c>
      <c r="AF165" s="26"/>
      <c r="AG165" s="26"/>
      <c r="AH165" s="26"/>
      <c r="AI165" s="26"/>
      <c r="AJ165" s="26"/>
      <c r="AK165" s="26"/>
      <c r="AL165" s="26">
        <v>4</v>
      </c>
      <c r="AO165" s="26">
        <v>0</v>
      </c>
      <c r="AP165" s="26">
        <v>0</v>
      </c>
      <c r="AQ165" s="26">
        <v>0</v>
      </c>
      <c r="AR165" s="26"/>
      <c r="AU165" s="121"/>
      <c r="AV165" s="121"/>
      <c r="AY165" s="26">
        <v>2</v>
      </c>
    </row>
    <row r="166" spans="3:51">
      <c r="C166">
        <v>157</v>
      </c>
      <c r="D166" s="26">
        <v>75</v>
      </c>
      <c r="E166" s="26">
        <v>6.65</v>
      </c>
      <c r="F166" s="71"/>
      <c r="G166" s="71"/>
      <c r="I166" s="46">
        <v>0.11426116838487972</v>
      </c>
      <c r="L166" s="26">
        <v>0</v>
      </c>
      <c r="M166" s="53">
        <v>58</v>
      </c>
      <c r="N166" s="26">
        <v>4</v>
      </c>
      <c r="P166" s="24">
        <v>0</v>
      </c>
      <c r="Q166" s="26" t="s">
        <v>143</v>
      </c>
      <c r="W166" s="45">
        <v>0.68</v>
      </c>
      <c r="X166" s="26"/>
      <c r="Y166" s="26">
        <v>2</v>
      </c>
      <c r="Z166" s="26">
        <v>45</v>
      </c>
      <c r="AA166" s="26" t="s">
        <v>123</v>
      </c>
      <c r="AB166" s="26"/>
      <c r="AC166" s="26"/>
      <c r="AD166" s="26"/>
      <c r="AE166" s="26" t="s">
        <v>143</v>
      </c>
      <c r="AF166" s="26"/>
      <c r="AG166" s="26"/>
      <c r="AH166" s="26"/>
      <c r="AI166" s="26"/>
      <c r="AJ166" s="26"/>
      <c r="AK166" s="26"/>
      <c r="AL166" s="26">
        <v>2</v>
      </c>
      <c r="AO166" s="26">
        <v>0</v>
      </c>
      <c r="AP166" s="26">
        <v>0</v>
      </c>
      <c r="AQ166" s="26">
        <v>0</v>
      </c>
      <c r="AR166" s="26"/>
      <c r="AU166" s="121"/>
      <c r="AV166" s="121"/>
      <c r="AY166" s="26">
        <v>2</v>
      </c>
    </row>
    <row r="167" spans="3:51">
      <c r="C167">
        <v>158</v>
      </c>
      <c r="D167" s="26">
        <v>69</v>
      </c>
      <c r="E167" s="26">
        <v>19.5</v>
      </c>
      <c r="F167" s="71"/>
      <c r="G167" s="71"/>
      <c r="I167" s="46">
        <v>0.27581329561527579</v>
      </c>
      <c r="L167" s="26">
        <v>0</v>
      </c>
      <c r="M167" s="53">
        <v>70</v>
      </c>
      <c r="N167" s="26">
        <v>5</v>
      </c>
      <c r="P167" s="24">
        <v>0</v>
      </c>
      <c r="Q167" s="26" t="s">
        <v>141</v>
      </c>
      <c r="W167" s="45">
        <v>1.34</v>
      </c>
      <c r="X167" s="26"/>
      <c r="Y167" s="26">
        <v>3</v>
      </c>
      <c r="Z167" s="26">
        <v>75</v>
      </c>
      <c r="AA167" s="26" t="s">
        <v>42</v>
      </c>
      <c r="AB167" s="26"/>
      <c r="AC167" s="26"/>
      <c r="AD167" s="26"/>
      <c r="AE167" s="26" t="s">
        <v>141</v>
      </c>
      <c r="AF167" s="26">
        <v>3</v>
      </c>
      <c r="AG167" s="26">
        <v>10</v>
      </c>
      <c r="AH167" s="26" t="s">
        <v>180</v>
      </c>
      <c r="AI167" s="26">
        <v>0</v>
      </c>
      <c r="AJ167" s="26"/>
      <c r="AK167" s="26"/>
      <c r="AL167" s="26">
        <v>2</v>
      </c>
      <c r="AO167" s="26">
        <v>1</v>
      </c>
      <c r="AP167" s="26">
        <v>0</v>
      </c>
      <c r="AQ167" s="26">
        <v>0</v>
      </c>
      <c r="AR167" s="26"/>
      <c r="AU167" s="121"/>
      <c r="AV167" s="121"/>
      <c r="AY167" s="26">
        <v>2</v>
      </c>
    </row>
    <row r="168" spans="3:51">
      <c r="C168">
        <v>159</v>
      </c>
      <c r="D168" s="26">
        <v>67</v>
      </c>
      <c r="E168" s="26">
        <v>4.22</v>
      </c>
      <c r="F168" s="71"/>
      <c r="G168" s="71"/>
      <c r="I168" s="46">
        <v>9.3569844789356982E-2</v>
      </c>
      <c r="L168" s="26">
        <v>1</v>
      </c>
      <c r="M168" s="53">
        <v>45</v>
      </c>
      <c r="N168" s="26">
        <v>4</v>
      </c>
      <c r="P168" s="24">
        <v>0</v>
      </c>
      <c r="Q168" s="26" t="s">
        <v>143</v>
      </c>
      <c r="W168" s="45">
        <v>0.3</v>
      </c>
      <c r="X168" s="26"/>
      <c r="Y168" s="26">
        <v>2</v>
      </c>
      <c r="Z168" s="26">
        <v>30</v>
      </c>
      <c r="AA168" s="26" t="s">
        <v>180</v>
      </c>
      <c r="AB168" s="26"/>
      <c r="AC168" s="26"/>
      <c r="AD168" s="26"/>
      <c r="AE168" s="26" t="s">
        <v>143</v>
      </c>
      <c r="AF168" s="26">
        <v>0</v>
      </c>
      <c r="AG168" s="26"/>
      <c r="AH168" s="26"/>
      <c r="AI168" s="26">
        <v>1</v>
      </c>
      <c r="AJ168" s="26">
        <v>10</v>
      </c>
      <c r="AK168" s="26" t="s">
        <v>81</v>
      </c>
      <c r="AL168" s="26">
        <v>2</v>
      </c>
      <c r="AO168" s="26">
        <v>0</v>
      </c>
      <c r="AP168" s="26">
        <v>0</v>
      </c>
      <c r="AQ168" s="26">
        <v>1</v>
      </c>
      <c r="AR168" s="26" t="s">
        <v>143</v>
      </c>
      <c r="AU168" s="121"/>
      <c r="AV168" s="121"/>
      <c r="AY168" s="26" t="s">
        <v>220</v>
      </c>
    </row>
    <row r="169" spans="3:51">
      <c r="C169">
        <v>160</v>
      </c>
      <c r="D169" s="26">
        <v>67</v>
      </c>
      <c r="E169" s="26">
        <v>5.8</v>
      </c>
      <c r="F169" s="71"/>
      <c r="G169" s="71"/>
      <c r="I169" s="46">
        <v>0.16292134831460672</v>
      </c>
      <c r="L169" s="26">
        <v>0</v>
      </c>
      <c r="M169" s="53">
        <v>35</v>
      </c>
      <c r="N169" s="26">
        <v>4</v>
      </c>
      <c r="P169" s="24">
        <v>0</v>
      </c>
      <c r="Q169" s="26" t="s">
        <v>141</v>
      </c>
      <c r="W169" s="45">
        <v>0.42</v>
      </c>
      <c r="X169" s="26"/>
      <c r="Y169" s="26">
        <v>2</v>
      </c>
      <c r="Z169" s="26">
        <v>30</v>
      </c>
      <c r="AA169" s="26" t="s">
        <v>130</v>
      </c>
      <c r="AB169" s="26"/>
      <c r="AC169" s="26"/>
      <c r="AD169" s="26"/>
      <c r="AE169" s="26" t="s">
        <v>141</v>
      </c>
      <c r="AF169" s="26">
        <v>0</v>
      </c>
      <c r="AG169" s="26"/>
      <c r="AH169" s="26"/>
      <c r="AI169" s="26">
        <v>1</v>
      </c>
      <c r="AJ169" s="26">
        <v>30</v>
      </c>
      <c r="AK169" s="26" t="s">
        <v>123</v>
      </c>
      <c r="AL169" s="26">
        <v>2</v>
      </c>
      <c r="AO169" s="26">
        <v>0</v>
      </c>
      <c r="AP169" s="26">
        <v>0</v>
      </c>
      <c r="AQ169" s="26">
        <v>0</v>
      </c>
      <c r="AR169" s="26"/>
      <c r="AU169" s="121"/>
      <c r="AV169" s="121"/>
      <c r="AY169" s="26">
        <v>2</v>
      </c>
    </row>
    <row r="170" spans="3:51">
      <c r="C170">
        <v>161</v>
      </c>
      <c r="D170" s="26">
        <v>70</v>
      </c>
      <c r="E170" s="26">
        <v>5.7</v>
      </c>
      <c r="F170" s="71"/>
      <c r="G170" s="71"/>
      <c r="I170" s="46">
        <v>0.15281501340482576</v>
      </c>
      <c r="L170" s="26">
        <v>1</v>
      </c>
      <c r="M170" s="53">
        <v>37</v>
      </c>
      <c r="N170" s="26">
        <v>4</v>
      </c>
      <c r="P170" s="24">
        <v>0</v>
      </c>
      <c r="Q170" s="26" t="s">
        <v>143</v>
      </c>
      <c r="W170" s="45">
        <v>0.26</v>
      </c>
      <c r="X170" s="26"/>
      <c r="Y170" s="26">
        <v>2</v>
      </c>
      <c r="Z170" s="26">
        <v>5</v>
      </c>
      <c r="AA170" s="26" t="s">
        <v>81</v>
      </c>
      <c r="AB170" s="26"/>
      <c r="AC170" s="26"/>
      <c r="AD170" s="26"/>
      <c r="AE170" s="26" t="s">
        <v>143</v>
      </c>
      <c r="AF170" s="26">
        <v>0</v>
      </c>
      <c r="AG170" s="26"/>
      <c r="AH170" s="26"/>
      <c r="AI170" s="26">
        <v>2</v>
      </c>
      <c r="AJ170" s="26">
        <v>20</v>
      </c>
      <c r="AK170" s="26" t="s">
        <v>67</v>
      </c>
      <c r="AL170" s="26">
        <v>1</v>
      </c>
      <c r="AO170" s="26">
        <v>0</v>
      </c>
      <c r="AP170" s="26">
        <v>0</v>
      </c>
      <c r="AQ170" s="26">
        <v>0</v>
      </c>
      <c r="AR170" s="26"/>
      <c r="AU170" s="121"/>
      <c r="AV170" s="121"/>
      <c r="AY170" s="26">
        <v>2</v>
      </c>
    </row>
    <row r="171" spans="3:51">
      <c r="C171">
        <v>162</v>
      </c>
      <c r="D171" s="26">
        <v>61</v>
      </c>
      <c r="E171" s="26">
        <v>8.6999999999999993</v>
      </c>
      <c r="F171" s="71"/>
      <c r="G171" s="71"/>
      <c r="I171" s="46">
        <v>0.35365853658536578</v>
      </c>
      <c r="L171" s="26">
        <v>1</v>
      </c>
      <c r="M171" s="53">
        <v>24</v>
      </c>
      <c r="N171" s="26">
        <v>5</v>
      </c>
      <c r="P171" s="24">
        <v>0</v>
      </c>
      <c r="Q171" s="26" t="s">
        <v>141</v>
      </c>
      <c r="W171" s="45">
        <v>0.9</v>
      </c>
      <c r="X171" s="26"/>
      <c r="Y171" s="26">
        <v>1</v>
      </c>
      <c r="Z171" s="26">
        <v>10</v>
      </c>
      <c r="AA171" s="26" t="s">
        <v>54</v>
      </c>
      <c r="AB171" s="26"/>
      <c r="AC171" s="26"/>
      <c r="AD171" s="26"/>
      <c r="AE171" s="26" t="s">
        <v>141</v>
      </c>
      <c r="AF171" s="26">
        <v>2</v>
      </c>
      <c r="AG171" s="26">
        <v>20</v>
      </c>
      <c r="AH171" s="26" t="s">
        <v>81</v>
      </c>
      <c r="AI171" s="26">
        <v>0</v>
      </c>
      <c r="AJ171" s="26"/>
      <c r="AK171" s="26"/>
      <c r="AL171" s="26">
        <v>3</v>
      </c>
      <c r="AO171" s="26">
        <v>0</v>
      </c>
      <c r="AP171" s="26">
        <v>0</v>
      </c>
      <c r="AQ171" s="26">
        <v>0</v>
      </c>
      <c r="AR171" s="26"/>
      <c r="AU171" s="121"/>
      <c r="AV171" s="121"/>
      <c r="AY171" s="26">
        <v>2</v>
      </c>
    </row>
    <row r="172" spans="3:51">
      <c r="C172">
        <v>163</v>
      </c>
      <c r="D172" s="26">
        <v>66</v>
      </c>
      <c r="E172" s="26">
        <v>4.7699999999999996</v>
      </c>
      <c r="F172" s="71"/>
      <c r="G172" s="71"/>
      <c r="I172" s="46">
        <v>4.4579439252336442E-2</v>
      </c>
      <c r="L172" s="26">
        <v>1</v>
      </c>
      <c r="M172" s="53">
        <v>107</v>
      </c>
      <c r="N172" s="26">
        <v>5</v>
      </c>
      <c r="P172" s="24">
        <v>0</v>
      </c>
      <c r="Q172" s="26" t="s">
        <v>141</v>
      </c>
      <c r="W172" s="45">
        <v>0.84</v>
      </c>
      <c r="X172" s="26"/>
      <c r="Y172" s="26">
        <v>2</v>
      </c>
      <c r="Z172" s="26">
        <v>60</v>
      </c>
      <c r="AA172" s="26" t="s">
        <v>84</v>
      </c>
      <c r="AB172" s="26"/>
      <c r="AC172" s="26"/>
      <c r="AD172" s="26"/>
      <c r="AE172" s="26" t="s">
        <v>141</v>
      </c>
      <c r="AF172" s="26">
        <v>1</v>
      </c>
      <c r="AG172" s="26">
        <v>4</v>
      </c>
      <c r="AH172" s="26" t="s">
        <v>81</v>
      </c>
      <c r="AI172" s="26">
        <v>1</v>
      </c>
      <c r="AJ172" s="26">
        <v>2</v>
      </c>
      <c r="AK172" s="26" t="s">
        <v>81</v>
      </c>
      <c r="AL172" s="26">
        <v>4</v>
      </c>
      <c r="AO172" s="26">
        <v>0</v>
      </c>
      <c r="AP172" s="26">
        <v>0</v>
      </c>
      <c r="AQ172" s="26">
        <v>0</v>
      </c>
      <c r="AR172" s="26"/>
      <c r="AU172" s="121"/>
      <c r="AV172" s="121"/>
      <c r="AY172" s="26">
        <v>2</v>
      </c>
    </row>
    <row r="173" spans="3:51">
      <c r="C173">
        <v>164</v>
      </c>
      <c r="D173" s="26">
        <v>61</v>
      </c>
      <c r="E173" s="26">
        <v>12</v>
      </c>
      <c r="F173" s="71"/>
      <c r="G173" s="71"/>
      <c r="I173" s="46">
        <v>0.19966722129783693</v>
      </c>
      <c r="L173" s="26">
        <v>1</v>
      </c>
      <c r="M173" s="53">
        <v>60</v>
      </c>
      <c r="N173" s="26">
        <v>4</v>
      </c>
      <c r="P173" s="24">
        <v>0</v>
      </c>
      <c r="Q173" s="26" t="s">
        <v>139</v>
      </c>
      <c r="W173" s="45">
        <v>0.18</v>
      </c>
      <c r="X173" s="26"/>
      <c r="Y173" s="26">
        <v>2</v>
      </c>
      <c r="Z173" s="26">
        <v>65</v>
      </c>
      <c r="AA173" s="26" t="s">
        <v>123</v>
      </c>
      <c r="AB173" s="26"/>
      <c r="AC173" s="26"/>
      <c r="AD173" s="26"/>
      <c r="AE173" s="26" t="s">
        <v>139</v>
      </c>
      <c r="AF173" s="26">
        <v>1</v>
      </c>
      <c r="AG173" s="26">
        <v>55</v>
      </c>
      <c r="AH173" s="26" t="s">
        <v>123</v>
      </c>
      <c r="AI173" s="26">
        <v>3</v>
      </c>
      <c r="AJ173" s="26">
        <v>25</v>
      </c>
      <c r="AK173" s="26" t="s">
        <v>65</v>
      </c>
      <c r="AL173" s="26">
        <v>2</v>
      </c>
      <c r="AO173" s="26">
        <v>1</v>
      </c>
      <c r="AP173" s="26">
        <v>0</v>
      </c>
      <c r="AQ173" s="26">
        <v>0</v>
      </c>
      <c r="AR173" s="26"/>
      <c r="AU173" s="121"/>
      <c r="AV173" s="121"/>
      <c r="AY173" s="26">
        <v>2</v>
      </c>
    </row>
    <row r="174" spans="3:51">
      <c r="C174">
        <v>165</v>
      </c>
      <c r="D174" s="26">
        <v>70</v>
      </c>
      <c r="E174" s="26">
        <v>3.4</v>
      </c>
      <c r="F174" s="71"/>
      <c r="G174" s="71"/>
      <c r="I174" s="46">
        <v>7.1129707112970716E-2</v>
      </c>
      <c r="L174" s="26">
        <v>0</v>
      </c>
      <c r="M174" s="53">
        <v>47</v>
      </c>
      <c r="N174" s="26">
        <v>4</v>
      </c>
      <c r="P174" s="24">
        <v>0</v>
      </c>
      <c r="Q174" s="26" t="s">
        <v>143</v>
      </c>
      <c r="W174" s="45">
        <v>0.39</v>
      </c>
      <c r="X174" s="26"/>
      <c r="Y174" s="26">
        <v>4</v>
      </c>
      <c r="Z174" s="26">
        <v>10</v>
      </c>
      <c r="AA174" s="26" t="s">
        <v>180</v>
      </c>
      <c r="AB174" s="26"/>
      <c r="AC174" s="26"/>
      <c r="AD174" s="26"/>
      <c r="AE174" s="26" t="s">
        <v>143</v>
      </c>
      <c r="AF174" s="26">
        <v>1</v>
      </c>
      <c r="AG174" s="26"/>
      <c r="AH174" s="26"/>
      <c r="AI174" s="26">
        <v>0</v>
      </c>
      <c r="AJ174" s="26"/>
      <c r="AK174" s="26"/>
      <c r="AL174" s="26">
        <v>2</v>
      </c>
      <c r="AO174" s="26">
        <v>0</v>
      </c>
      <c r="AP174" s="26">
        <v>0</v>
      </c>
      <c r="AQ174" s="26">
        <v>0</v>
      </c>
      <c r="AR174" s="26"/>
      <c r="AU174" s="121"/>
      <c r="AV174" s="121"/>
      <c r="AY174" s="26">
        <v>2</v>
      </c>
    </row>
    <row r="175" spans="3:51">
      <c r="C175">
        <v>166</v>
      </c>
      <c r="D175" s="26">
        <v>64</v>
      </c>
      <c r="E175" s="26">
        <v>6.87</v>
      </c>
      <c r="F175" s="71"/>
      <c r="G175" s="71"/>
      <c r="I175" s="46">
        <v>0.10393343419062029</v>
      </c>
      <c r="L175" s="26">
        <v>1</v>
      </c>
      <c r="M175" s="53">
        <v>66</v>
      </c>
      <c r="N175" s="26">
        <v>4</v>
      </c>
      <c r="P175" s="24">
        <v>0</v>
      </c>
      <c r="Q175" s="26" t="s">
        <v>143</v>
      </c>
      <c r="W175" s="45">
        <v>0.65</v>
      </c>
      <c r="X175" s="26"/>
      <c r="Y175" s="26">
        <v>2</v>
      </c>
      <c r="Z175" s="26">
        <v>70</v>
      </c>
      <c r="AA175" s="26" t="s">
        <v>130</v>
      </c>
      <c r="AB175" s="26"/>
      <c r="AC175" s="26"/>
      <c r="AD175" s="26"/>
      <c r="AE175" s="26" t="s">
        <v>143</v>
      </c>
      <c r="AF175" s="26">
        <v>2</v>
      </c>
      <c r="AG175" s="26">
        <v>20</v>
      </c>
      <c r="AH175" s="26" t="s">
        <v>81</v>
      </c>
      <c r="AI175" s="26">
        <v>1</v>
      </c>
      <c r="AJ175" s="26">
        <v>25</v>
      </c>
      <c r="AK175" s="26" t="s">
        <v>81</v>
      </c>
      <c r="AL175" s="26">
        <v>2</v>
      </c>
      <c r="AO175" s="26">
        <v>1</v>
      </c>
      <c r="AP175" s="26">
        <v>0</v>
      </c>
      <c r="AQ175" s="26">
        <v>0</v>
      </c>
      <c r="AR175" s="26"/>
      <c r="AU175" s="121"/>
      <c r="AV175" s="121"/>
      <c r="AY175" s="26">
        <v>2</v>
      </c>
    </row>
    <row r="176" spans="3:51">
      <c r="C176">
        <v>167</v>
      </c>
      <c r="D176" s="26">
        <v>67</v>
      </c>
      <c r="E176" s="26">
        <v>4.8</v>
      </c>
      <c r="F176" s="71"/>
      <c r="G176" s="71"/>
      <c r="I176" s="46">
        <v>0.15483870967741936</v>
      </c>
      <c r="L176" s="26">
        <v>0</v>
      </c>
      <c r="M176" s="53">
        <v>31</v>
      </c>
      <c r="N176" s="26">
        <v>4</v>
      </c>
      <c r="P176" s="24">
        <v>0</v>
      </c>
      <c r="Q176" s="26" t="s">
        <v>141</v>
      </c>
      <c r="W176" s="45">
        <v>0.13</v>
      </c>
      <c r="X176" s="26"/>
      <c r="Y176" s="26">
        <v>2</v>
      </c>
      <c r="Z176" s="26">
        <v>10</v>
      </c>
      <c r="AA176" s="26" t="s">
        <v>179</v>
      </c>
      <c r="AB176" s="26"/>
      <c r="AC176" s="26"/>
      <c r="AD176" s="26"/>
      <c r="AE176" s="26" t="s">
        <v>141</v>
      </c>
      <c r="AF176" s="26">
        <v>0</v>
      </c>
      <c r="AG176" s="26"/>
      <c r="AH176" s="26"/>
      <c r="AI176" s="26">
        <v>1</v>
      </c>
      <c r="AJ176" s="26">
        <v>4</v>
      </c>
      <c r="AK176" s="26" t="s">
        <v>86</v>
      </c>
      <c r="AL176" s="26">
        <v>1</v>
      </c>
      <c r="AO176" s="26">
        <v>0</v>
      </c>
      <c r="AP176" s="26">
        <v>0</v>
      </c>
      <c r="AQ176" s="26">
        <v>0</v>
      </c>
      <c r="AR176" s="26"/>
      <c r="AU176" s="121"/>
      <c r="AV176" s="121"/>
      <c r="AY176" s="26">
        <v>2</v>
      </c>
    </row>
    <row r="177" spans="3:51">
      <c r="C177">
        <v>168</v>
      </c>
      <c r="D177" s="26">
        <v>71</v>
      </c>
      <c r="E177" s="26">
        <v>4.26</v>
      </c>
      <c r="F177" s="71"/>
      <c r="G177" s="71"/>
      <c r="I177" s="46">
        <v>0.11036269430051812</v>
      </c>
      <c r="L177" s="26">
        <v>0</v>
      </c>
      <c r="M177" s="53">
        <v>38</v>
      </c>
      <c r="N177" s="26">
        <v>5</v>
      </c>
      <c r="P177" s="24">
        <v>0</v>
      </c>
      <c r="Q177" s="26" t="s">
        <v>142</v>
      </c>
      <c r="W177" s="45">
        <v>0.72</v>
      </c>
      <c r="X177" s="26"/>
      <c r="Y177" s="26">
        <v>2</v>
      </c>
      <c r="Z177" s="26">
        <v>70</v>
      </c>
      <c r="AA177" s="26" t="s">
        <v>42</v>
      </c>
      <c r="AB177" s="26"/>
      <c r="AC177" s="26"/>
      <c r="AD177" s="26"/>
      <c r="AE177" s="26" t="s">
        <v>142</v>
      </c>
      <c r="AF177" s="26">
        <v>2</v>
      </c>
      <c r="AG177" s="26">
        <v>10</v>
      </c>
      <c r="AH177" s="26" t="s">
        <v>81</v>
      </c>
      <c r="AI177" s="26">
        <v>2</v>
      </c>
      <c r="AJ177" s="26">
        <v>20</v>
      </c>
      <c r="AK177" s="26" t="s">
        <v>86</v>
      </c>
      <c r="AL177" s="26">
        <v>2</v>
      </c>
      <c r="AO177" s="26">
        <v>0</v>
      </c>
      <c r="AP177" s="26">
        <v>0</v>
      </c>
      <c r="AQ177" s="26">
        <v>0</v>
      </c>
      <c r="AR177" s="26"/>
      <c r="AU177" s="121"/>
      <c r="AV177" s="121"/>
      <c r="AY177" s="26">
        <v>2</v>
      </c>
    </row>
    <row r="178" spans="3:51">
      <c r="C178">
        <v>169</v>
      </c>
      <c r="D178" s="26">
        <v>76</v>
      </c>
      <c r="E178" s="26">
        <v>12</v>
      </c>
      <c r="F178" s="71"/>
      <c r="G178" s="71"/>
      <c r="I178" s="46">
        <v>0.44280442804428044</v>
      </c>
      <c r="L178" s="26">
        <v>1</v>
      </c>
      <c r="M178" s="53">
        <v>27</v>
      </c>
      <c r="N178" s="26">
        <v>4</v>
      </c>
      <c r="P178" s="24">
        <v>0</v>
      </c>
      <c r="Q178" s="26" t="s">
        <v>141</v>
      </c>
      <c r="W178" s="45">
        <v>0.53</v>
      </c>
      <c r="X178" s="26"/>
      <c r="Y178" s="26">
        <v>4</v>
      </c>
      <c r="Z178" s="26">
        <v>10</v>
      </c>
      <c r="AA178" s="26" t="s">
        <v>86</v>
      </c>
      <c r="AB178" s="26"/>
      <c r="AC178" s="26"/>
      <c r="AD178" s="26"/>
      <c r="AE178" s="26" t="s">
        <v>141</v>
      </c>
      <c r="AF178" s="26">
        <v>1</v>
      </c>
      <c r="AG178" s="26">
        <v>2</v>
      </c>
      <c r="AH178" s="26" t="s">
        <v>180</v>
      </c>
      <c r="AI178" s="26">
        <v>2</v>
      </c>
      <c r="AJ178" s="26">
        <v>10</v>
      </c>
      <c r="AK178" s="26" t="s">
        <v>177</v>
      </c>
      <c r="AL178" s="26">
        <v>4</v>
      </c>
      <c r="AO178" s="26">
        <v>0</v>
      </c>
      <c r="AP178" s="26">
        <v>1</v>
      </c>
      <c r="AQ178" s="26">
        <v>1</v>
      </c>
      <c r="AR178" s="26" t="s">
        <v>142</v>
      </c>
      <c r="AU178" s="121"/>
      <c r="AV178" s="121"/>
      <c r="AY178" s="26" t="s">
        <v>220</v>
      </c>
    </row>
    <row r="179" spans="3:51">
      <c r="C179">
        <v>170</v>
      </c>
      <c r="D179" s="26">
        <v>68</v>
      </c>
      <c r="E179" s="26">
        <v>12</v>
      </c>
      <c r="F179" s="71"/>
      <c r="G179" s="71"/>
      <c r="I179" s="46">
        <v>0.37267080745341613</v>
      </c>
      <c r="L179" s="26">
        <v>0</v>
      </c>
      <c r="M179" s="53">
        <v>32</v>
      </c>
      <c r="N179" s="26">
        <v>4</v>
      </c>
      <c r="P179" s="24">
        <v>0</v>
      </c>
      <c r="Q179" s="26" t="s">
        <v>143</v>
      </c>
      <c r="W179" s="45">
        <v>0.78</v>
      </c>
      <c r="X179" s="26"/>
      <c r="Y179" s="26">
        <v>2</v>
      </c>
      <c r="Z179" s="26">
        <v>75</v>
      </c>
      <c r="AA179" s="26" t="s">
        <v>49</v>
      </c>
      <c r="AB179" s="26"/>
      <c r="AC179" s="26"/>
      <c r="AD179" s="26"/>
      <c r="AE179" s="26" t="s">
        <v>143</v>
      </c>
      <c r="AF179" s="26"/>
      <c r="AG179" s="26"/>
      <c r="AH179" s="26"/>
      <c r="AI179" s="26"/>
      <c r="AJ179" s="26"/>
      <c r="AK179" s="26"/>
      <c r="AL179" s="26">
        <v>3</v>
      </c>
      <c r="AO179" s="26">
        <v>0</v>
      </c>
      <c r="AP179" s="26">
        <v>0</v>
      </c>
      <c r="AQ179" s="26">
        <v>0</v>
      </c>
      <c r="AR179" s="26"/>
      <c r="AU179" s="121"/>
      <c r="AV179" s="121"/>
      <c r="AY179" s="26">
        <v>2</v>
      </c>
    </row>
    <row r="180" spans="3:51">
      <c r="C180">
        <v>171</v>
      </c>
      <c r="D180" s="26">
        <v>67</v>
      </c>
      <c r="E180" s="26">
        <v>5</v>
      </c>
      <c r="F180" s="71"/>
      <c r="G180" s="71"/>
      <c r="I180" s="46">
        <v>6.5876152832674562E-2</v>
      </c>
      <c r="L180" s="26">
        <v>0</v>
      </c>
      <c r="M180" s="53">
        <v>75</v>
      </c>
      <c r="N180" s="26">
        <v>4</v>
      </c>
      <c r="P180" s="24">
        <v>0</v>
      </c>
      <c r="Q180" s="26" t="s">
        <v>143</v>
      </c>
      <c r="W180" s="45">
        <v>0.48</v>
      </c>
      <c r="X180" s="26"/>
      <c r="Y180" s="26">
        <v>2</v>
      </c>
      <c r="Z180" s="26">
        <v>50</v>
      </c>
      <c r="AA180" s="26" t="s">
        <v>179</v>
      </c>
      <c r="AB180" s="26"/>
      <c r="AC180" s="26"/>
      <c r="AD180" s="26"/>
      <c r="AE180" s="26" t="s">
        <v>143</v>
      </c>
      <c r="AF180" s="26">
        <v>0</v>
      </c>
      <c r="AG180" s="26"/>
      <c r="AH180" s="26"/>
      <c r="AI180" s="26">
        <v>2</v>
      </c>
      <c r="AJ180" s="26">
        <v>60</v>
      </c>
      <c r="AK180" s="26" t="s">
        <v>65</v>
      </c>
      <c r="AL180" s="26">
        <v>2</v>
      </c>
      <c r="AO180" s="26">
        <v>0</v>
      </c>
      <c r="AP180" s="26">
        <v>0</v>
      </c>
      <c r="AQ180" s="26">
        <v>0</v>
      </c>
      <c r="AR180" s="26"/>
      <c r="AU180" s="121"/>
      <c r="AV180" s="121"/>
      <c r="AY180" s="26">
        <v>2</v>
      </c>
    </row>
    <row r="181" spans="3:51">
      <c r="C181">
        <v>172</v>
      </c>
      <c r="D181" s="28">
        <v>67</v>
      </c>
      <c r="E181" s="38">
        <v>4.8</v>
      </c>
      <c r="F181" s="134"/>
      <c r="G181" s="134"/>
      <c r="I181" s="46">
        <v>0.13333333333333333</v>
      </c>
      <c r="L181" s="38">
        <v>0</v>
      </c>
      <c r="M181" s="55">
        <v>36</v>
      </c>
      <c r="N181" s="41">
        <v>5</v>
      </c>
      <c r="P181" s="24">
        <v>0</v>
      </c>
      <c r="Q181" s="41" t="s">
        <v>140</v>
      </c>
      <c r="W181" s="67">
        <v>2.15</v>
      </c>
      <c r="X181" s="26">
        <v>34</v>
      </c>
      <c r="Y181" s="89">
        <v>1</v>
      </c>
      <c r="Z181" s="87">
        <v>90</v>
      </c>
      <c r="AA181" s="87" t="s">
        <v>158</v>
      </c>
      <c r="AB181" s="73">
        <v>1</v>
      </c>
      <c r="AC181" s="107">
        <v>0.3</v>
      </c>
      <c r="AD181" s="108" t="s">
        <v>158</v>
      </c>
      <c r="AE181" s="41" t="s">
        <v>140</v>
      </c>
      <c r="AF181" s="116"/>
      <c r="AG181" s="26"/>
      <c r="AH181" s="26"/>
      <c r="AI181" s="116"/>
      <c r="AJ181" s="26"/>
      <c r="AK181" s="26"/>
      <c r="AL181" s="121">
        <v>2</v>
      </c>
      <c r="AO181" s="121">
        <v>0</v>
      </c>
      <c r="AP181" s="121">
        <v>0</v>
      </c>
      <c r="AQ181" s="121">
        <v>1</v>
      </c>
      <c r="AR181" s="121"/>
      <c r="AU181" s="121">
        <v>1</v>
      </c>
      <c r="AV181" s="121"/>
      <c r="AY181" s="121" t="s">
        <v>220</v>
      </c>
    </row>
    <row r="182" spans="3:51">
      <c r="C182">
        <v>173</v>
      </c>
      <c r="D182" s="28">
        <v>65</v>
      </c>
      <c r="E182" s="28">
        <v>8.1999999999999993</v>
      </c>
      <c r="F182" s="135"/>
      <c r="G182" s="135"/>
      <c r="I182" s="46">
        <v>0.3037037037037037</v>
      </c>
      <c r="L182" s="28">
        <v>1</v>
      </c>
      <c r="M182" s="56">
        <v>27</v>
      </c>
      <c r="N182" s="57">
        <v>4</v>
      </c>
      <c r="P182" s="24">
        <v>0</v>
      </c>
      <c r="Q182" s="29" t="s">
        <v>139</v>
      </c>
      <c r="W182" s="67">
        <v>0.4</v>
      </c>
      <c r="X182" s="26"/>
      <c r="Y182" s="87">
        <v>2</v>
      </c>
      <c r="Z182" s="90">
        <v>0.5</v>
      </c>
      <c r="AA182" s="87" t="s">
        <v>150</v>
      </c>
      <c r="AB182" s="73">
        <v>1</v>
      </c>
      <c r="AC182" s="107">
        <v>0.25</v>
      </c>
      <c r="AD182" s="108" t="s">
        <v>155</v>
      </c>
      <c r="AE182" s="29" t="s">
        <v>139</v>
      </c>
      <c r="AF182" s="116"/>
      <c r="AG182" s="26"/>
      <c r="AH182" s="26"/>
      <c r="AI182" s="116"/>
      <c r="AJ182" s="26"/>
      <c r="AK182" s="26"/>
      <c r="AL182" s="121">
        <v>2</v>
      </c>
      <c r="AO182" s="121">
        <v>0</v>
      </c>
      <c r="AP182" s="121"/>
      <c r="AQ182" s="121">
        <v>1</v>
      </c>
      <c r="AR182" s="121" t="s">
        <v>139</v>
      </c>
      <c r="AU182" s="121">
        <v>0</v>
      </c>
      <c r="AV182" s="121"/>
      <c r="AY182" s="121" t="s">
        <v>220</v>
      </c>
    </row>
    <row r="183" spans="3:51">
      <c r="C183">
        <v>174</v>
      </c>
      <c r="D183" s="28">
        <v>60</v>
      </c>
      <c r="E183" s="28">
        <v>6.9</v>
      </c>
      <c r="F183" s="135"/>
      <c r="G183" s="135"/>
      <c r="I183" s="46">
        <v>0.13800000000000001</v>
      </c>
      <c r="L183" s="28">
        <v>1</v>
      </c>
      <c r="M183" s="56">
        <v>50</v>
      </c>
      <c r="N183" s="57">
        <v>5</v>
      </c>
      <c r="P183" s="24">
        <v>0</v>
      </c>
      <c r="Q183" s="29" t="s">
        <v>140</v>
      </c>
      <c r="W183" s="68">
        <v>1.35</v>
      </c>
      <c r="X183" s="26"/>
      <c r="Y183" s="87">
        <v>3</v>
      </c>
      <c r="Z183" s="90">
        <v>0.95</v>
      </c>
      <c r="AA183" s="87" t="s">
        <v>163</v>
      </c>
      <c r="AB183" s="73">
        <v>3</v>
      </c>
      <c r="AC183" s="107">
        <v>0.9</v>
      </c>
      <c r="AD183" s="108" t="s">
        <v>158</v>
      </c>
      <c r="AE183" s="29" t="s">
        <v>140</v>
      </c>
      <c r="AF183" s="116"/>
      <c r="AG183" s="26"/>
      <c r="AH183" s="26"/>
      <c r="AI183" s="116"/>
      <c r="AJ183" s="26"/>
      <c r="AK183" s="26"/>
      <c r="AL183" s="121">
        <v>2</v>
      </c>
      <c r="AO183" s="121">
        <v>0</v>
      </c>
      <c r="AP183" s="121">
        <v>0</v>
      </c>
      <c r="AQ183" s="121">
        <v>1</v>
      </c>
      <c r="AR183" s="121" t="s">
        <v>217</v>
      </c>
      <c r="AU183" s="121">
        <v>1</v>
      </c>
      <c r="AV183" s="121"/>
      <c r="AY183" s="121" t="s">
        <v>221</v>
      </c>
    </row>
    <row r="184" spans="3:51">
      <c r="C184">
        <v>175</v>
      </c>
      <c r="D184" s="28">
        <v>70</v>
      </c>
      <c r="E184" s="28">
        <v>4</v>
      </c>
      <c r="F184" s="135"/>
      <c r="G184" s="135"/>
      <c r="I184" s="46">
        <v>8.6956521739130432E-2</v>
      </c>
      <c r="L184" s="28">
        <v>0</v>
      </c>
      <c r="M184" s="56">
        <v>46</v>
      </c>
      <c r="N184" s="57">
        <v>4</v>
      </c>
      <c r="P184" s="24">
        <v>0</v>
      </c>
      <c r="Q184" s="29" t="s">
        <v>139</v>
      </c>
      <c r="W184" s="68">
        <v>0.72</v>
      </c>
      <c r="X184" s="26">
        <v>9</v>
      </c>
      <c r="Y184" s="89">
        <v>1</v>
      </c>
      <c r="Z184" s="90">
        <v>0.05</v>
      </c>
      <c r="AA184" s="87" t="s">
        <v>152</v>
      </c>
      <c r="AB184" s="73">
        <v>1</v>
      </c>
      <c r="AC184" s="107">
        <v>0.33</v>
      </c>
      <c r="AD184" s="108" t="s">
        <v>155</v>
      </c>
      <c r="AE184" s="29" t="s">
        <v>139</v>
      </c>
      <c r="AF184" s="116"/>
      <c r="AG184" s="26"/>
      <c r="AH184" s="26"/>
      <c r="AI184" s="116"/>
      <c r="AJ184" s="26"/>
      <c r="AK184" s="26"/>
      <c r="AL184" s="121">
        <v>1</v>
      </c>
      <c r="AO184" s="121">
        <v>0</v>
      </c>
      <c r="AP184" s="121"/>
      <c r="AQ184" s="121">
        <v>0</v>
      </c>
      <c r="AR184" s="121"/>
      <c r="AU184" s="121">
        <v>0</v>
      </c>
      <c r="AV184" s="121"/>
      <c r="AY184" s="121">
        <v>2</v>
      </c>
    </row>
    <row r="185" spans="3:51">
      <c r="C185">
        <v>176</v>
      </c>
      <c r="D185" s="28">
        <v>67</v>
      </c>
      <c r="E185" s="28">
        <v>18</v>
      </c>
      <c r="F185" s="135"/>
      <c r="G185" s="135"/>
      <c r="I185" s="46">
        <v>0.4</v>
      </c>
      <c r="L185" s="28">
        <v>0</v>
      </c>
      <c r="M185" s="56">
        <v>45</v>
      </c>
      <c r="N185" s="57">
        <v>4</v>
      </c>
      <c r="P185" s="24">
        <v>0</v>
      </c>
      <c r="Q185" s="29" t="s">
        <v>140</v>
      </c>
      <c r="W185" s="68">
        <v>0.45</v>
      </c>
      <c r="X185" s="26">
        <v>9</v>
      </c>
      <c r="Y185" s="89">
        <v>1</v>
      </c>
      <c r="Z185" s="90">
        <v>0.9</v>
      </c>
      <c r="AA185" s="87" t="s">
        <v>182</v>
      </c>
      <c r="AB185" s="73">
        <v>2</v>
      </c>
      <c r="AC185" s="107">
        <v>0.3</v>
      </c>
      <c r="AD185" s="108" t="s">
        <v>155</v>
      </c>
      <c r="AE185" s="29" t="s">
        <v>140</v>
      </c>
      <c r="AF185" s="116"/>
      <c r="AG185" s="26"/>
      <c r="AH185" s="26"/>
      <c r="AI185" s="116"/>
      <c r="AJ185" s="26"/>
      <c r="AK185" s="26"/>
      <c r="AL185" s="121">
        <v>1</v>
      </c>
      <c r="AO185" s="121">
        <v>0</v>
      </c>
      <c r="AP185" s="121"/>
      <c r="AQ185" s="121">
        <v>0</v>
      </c>
      <c r="AR185" s="121"/>
      <c r="AU185" s="121">
        <v>0</v>
      </c>
      <c r="AV185" s="121"/>
      <c r="AY185" s="121">
        <v>2</v>
      </c>
    </row>
    <row r="186" spans="3:51">
      <c r="C186">
        <v>177</v>
      </c>
      <c r="D186" s="28">
        <v>72</v>
      </c>
      <c r="E186" s="39">
        <v>3.45</v>
      </c>
      <c r="F186" s="136"/>
      <c r="G186" s="136"/>
      <c r="I186" s="46">
        <v>0.11129032258064517</v>
      </c>
      <c r="L186" s="38">
        <v>0</v>
      </c>
      <c r="M186" s="55">
        <v>31</v>
      </c>
      <c r="N186" s="41">
        <v>3</v>
      </c>
      <c r="P186" s="26"/>
      <c r="Q186" s="28" t="s">
        <v>139</v>
      </c>
      <c r="W186" s="67">
        <v>0.32</v>
      </c>
      <c r="X186" s="26"/>
      <c r="Y186" s="91">
        <v>1</v>
      </c>
      <c r="Z186" s="90">
        <v>0.6</v>
      </c>
      <c r="AA186" s="87" t="s">
        <v>158</v>
      </c>
      <c r="AB186" s="73">
        <v>1</v>
      </c>
      <c r="AC186" s="107">
        <v>0.35</v>
      </c>
      <c r="AD186" s="108" t="s">
        <v>158</v>
      </c>
      <c r="AE186" s="28" t="s">
        <v>139</v>
      </c>
      <c r="AF186" s="116"/>
      <c r="AG186" s="26"/>
      <c r="AH186" s="26"/>
      <c r="AI186" s="116"/>
      <c r="AJ186" s="26"/>
      <c r="AK186" s="26"/>
      <c r="AL186" s="121">
        <v>1</v>
      </c>
      <c r="AO186" s="121">
        <v>1</v>
      </c>
      <c r="AP186" s="121"/>
      <c r="AQ186" s="121"/>
      <c r="AR186" s="121"/>
      <c r="AU186" s="121"/>
      <c r="AV186" s="121"/>
      <c r="AY186" s="121">
        <v>2</v>
      </c>
    </row>
    <row r="187" spans="3:51">
      <c r="C187">
        <v>178</v>
      </c>
      <c r="D187" s="28">
        <v>68</v>
      </c>
      <c r="E187" s="40">
        <v>5.5</v>
      </c>
      <c r="F187" s="137"/>
      <c r="G187" s="137"/>
      <c r="I187" s="46">
        <v>0.12790697674418605</v>
      </c>
      <c r="L187" s="28">
        <v>0</v>
      </c>
      <c r="M187" s="56">
        <v>43</v>
      </c>
      <c r="N187" s="57">
        <v>3</v>
      </c>
      <c r="P187" s="24">
        <v>0</v>
      </c>
      <c r="Q187" s="29" t="s">
        <v>140</v>
      </c>
      <c r="W187" s="67">
        <v>0.67</v>
      </c>
      <c r="X187" s="26"/>
      <c r="Y187" s="89">
        <v>1</v>
      </c>
      <c r="Z187" s="90">
        <v>0.15</v>
      </c>
      <c r="AA187" s="87" t="s">
        <v>155</v>
      </c>
      <c r="AB187" s="73">
        <v>0</v>
      </c>
      <c r="AC187" s="108">
        <v>0</v>
      </c>
      <c r="AD187" s="108" t="s">
        <v>201</v>
      </c>
      <c r="AE187" s="29" t="s">
        <v>140</v>
      </c>
      <c r="AF187" s="116"/>
      <c r="AG187" s="26"/>
      <c r="AH187" s="26"/>
      <c r="AI187" s="116"/>
      <c r="AJ187" s="26"/>
      <c r="AK187" s="26"/>
      <c r="AL187" s="121">
        <v>1</v>
      </c>
      <c r="AO187" s="121">
        <v>0</v>
      </c>
      <c r="AP187" s="121"/>
      <c r="AQ187" s="121">
        <v>0</v>
      </c>
      <c r="AR187" s="121"/>
      <c r="AU187" s="121">
        <v>0</v>
      </c>
      <c r="AV187" s="121"/>
      <c r="AY187" s="121">
        <v>2</v>
      </c>
    </row>
    <row r="188" spans="3:51">
      <c r="C188">
        <v>179</v>
      </c>
      <c r="D188" s="29">
        <v>58</v>
      </c>
      <c r="E188" s="40">
        <v>7.7</v>
      </c>
      <c r="F188" s="137"/>
      <c r="G188" s="137"/>
      <c r="I188" s="46">
        <v>5.7894736842105263E-2</v>
      </c>
      <c r="L188" s="28">
        <v>1</v>
      </c>
      <c r="M188" s="56">
        <v>133</v>
      </c>
      <c r="N188" s="57">
        <v>3</v>
      </c>
      <c r="P188" s="24">
        <v>0</v>
      </c>
      <c r="Q188" s="29" t="s">
        <v>139</v>
      </c>
      <c r="W188" s="68">
        <v>1.89</v>
      </c>
      <c r="X188" s="26"/>
      <c r="Y188" s="87">
        <v>1</v>
      </c>
      <c r="Z188" s="92">
        <v>0.04</v>
      </c>
      <c r="AA188" s="89" t="s">
        <v>183</v>
      </c>
      <c r="AB188" s="73">
        <v>0</v>
      </c>
      <c r="AC188" s="73">
        <v>0</v>
      </c>
      <c r="AD188" s="73" t="s">
        <v>201</v>
      </c>
      <c r="AE188" s="29" t="s">
        <v>139</v>
      </c>
      <c r="AF188" s="116"/>
      <c r="AG188" s="116"/>
      <c r="AH188" s="116"/>
      <c r="AI188" s="116"/>
      <c r="AJ188" s="116"/>
      <c r="AK188" s="116"/>
      <c r="AL188" s="122">
        <v>1</v>
      </c>
      <c r="AO188" s="121">
        <v>0</v>
      </c>
      <c r="AP188" s="122"/>
      <c r="AQ188" s="122">
        <v>0</v>
      </c>
      <c r="AR188" s="122"/>
      <c r="AU188" s="121">
        <v>0</v>
      </c>
      <c r="AV188" s="121"/>
      <c r="AY188" s="121">
        <v>2</v>
      </c>
    </row>
    <row r="189" spans="3:51">
      <c r="C189">
        <v>180</v>
      </c>
      <c r="D189" s="29">
        <v>65</v>
      </c>
      <c r="E189" s="28">
        <v>10</v>
      </c>
      <c r="F189" s="135"/>
      <c r="G189" s="135"/>
      <c r="I189" s="46">
        <v>0.25</v>
      </c>
      <c r="L189" s="28">
        <v>0</v>
      </c>
      <c r="M189" s="56">
        <v>40</v>
      </c>
      <c r="N189" s="57">
        <v>4</v>
      </c>
      <c r="P189" s="24">
        <v>0</v>
      </c>
      <c r="Q189" s="29" t="s">
        <v>139</v>
      </c>
      <c r="W189" s="68">
        <v>1.22</v>
      </c>
      <c r="X189" s="26"/>
      <c r="Y189" s="87">
        <v>1</v>
      </c>
      <c r="Z189" s="92">
        <v>0.5</v>
      </c>
      <c r="AA189" s="89" t="s">
        <v>171</v>
      </c>
      <c r="AB189" s="73">
        <v>1</v>
      </c>
      <c r="AC189" s="109">
        <v>0.4</v>
      </c>
      <c r="AD189" s="73" t="s">
        <v>168</v>
      </c>
      <c r="AE189" s="29" t="s">
        <v>139</v>
      </c>
      <c r="AF189" s="116"/>
      <c r="AG189" s="116"/>
      <c r="AH189" s="116"/>
      <c r="AI189" s="116"/>
      <c r="AJ189" s="116"/>
      <c r="AK189" s="116"/>
      <c r="AL189" s="122">
        <v>2</v>
      </c>
      <c r="AO189" s="121">
        <v>0</v>
      </c>
      <c r="AP189" s="122"/>
      <c r="AQ189" s="122">
        <v>0</v>
      </c>
      <c r="AR189" s="122"/>
      <c r="AU189" s="121">
        <v>0</v>
      </c>
      <c r="AV189" s="121"/>
      <c r="AY189" s="121">
        <v>2</v>
      </c>
    </row>
    <row r="190" spans="3:51">
      <c r="C190">
        <v>181</v>
      </c>
      <c r="D190" s="28">
        <v>66</v>
      </c>
      <c r="E190" s="28">
        <v>6.3</v>
      </c>
      <c r="F190" s="135"/>
      <c r="G190" s="135"/>
      <c r="I190" s="46">
        <v>0.14651162790697675</v>
      </c>
      <c r="L190" s="28">
        <v>0</v>
      </c>
      <c r="M190" s="56">
        <v>43</v>
      </c>
      <c r="N190" s="57">
        <v>4</v>
      </c>
      <c r="P190" s="24">
        <v>0</v>
      </c>
      <c r="Q190" s="29" t="s">
        <v>140</v>
      </c>
      <c r="W190" s="67">
        <v>1.25</v>
      </c>
      <c r="X190" s="26"/>
      <c r="Y190" s="89">
        <v>1</v>
      </c>
      <c r="Z190" s="90">
        <v>0.2</v>
      </c>
      <c r="AA190" s="87" t="s">
        <v>150</v>
      </c>
      <c r="AB190" s="73">
        <v>1</v>
      </c>
      <c r="AC190" s="107">
        <v>0.2</v>
      </c>
      <c r="AD190" s="108" t="s">
        <v>155</v>
      </c>
      <c r="AE190" s="29" t="s">
        <v>140</v>
      </c>
      <c r="AF190" s="116"/>
      <c r="AG190" s="26"/>
      <c r="AH190" s="26"/>
      <c r="AI190" s="116"/>
      <c r="AJ190" s="26"/>
      <c r="AK190" s="26"/>
      <c r="AL190" s="121">
        <v>2</v>
      </c>
      <c r="AO190" s="121">
        <v>0</v>
      </c>
      <c r="AP190" s="121"/>
      <c r="AQ190" s="121">
        <v>1</v>
      </c>
      <c r="AR190" s="121" t="s">
        <v>139</v>
      </c>
      <c r="AU190" s="121">
        <v>0</v>
      </c>
      <c r="AV190" s="121"/>
      <c r="AY190" s="121" t="s">
        <v>220</v>
      </c>
    </row>
    <row r="191" spans="3:51">
      <c r="C191">
        <v>182</v>
      </c>
      <c r="D191" s="28">
        <v>68</v>
      </c>
      <c r="E191" s="38">
        <v>9.1</v>
      </c>
      <c r="F191" s="134"/>
      <c r="G191" s="134"/>
      <c r="I191" s="46">
        <v>0.14218749999999999</v>
      </c>
      <c r="L191" s="38">
        <v>0</v>
      </c>
      <c r="M191" s="55">
        <v>64</v>
      </c>
      <c r="N191" s="41">
        <v>4</v>
      </c>
      <c r="P191" s="24">
        <v>0</v>
      </c>
      <c r="Q191" s="41" t="s">
        <v>139</v>
      </c>
      <c r="W191" s="68">
        <v>0.44</v>
      </c>
      <c r="X191" s="26">
        <v>22</v>
      </c>
      <c r="Y191" s="91">
        <v>1</v>
      </c>
      <c r="Z191" s="87"/>
      <c r="AA191" s="87" t="s">
        <v>184</v>
      </c>
      <c r="AB191" s="73">
        <v>1</v>
      </c>
      <c r="AC191" s="108"/>
      <c r="AD191" s="108" t="s">
        <v>202</v>
      </c>
      <c r="AE191" s="41" t="s">
        <v>139</v>
      </c>
      <c r="AF191" s="116"/>
      <c r="AG191" s="26"/>
      <c r="AH191" s="26"/>
      <c r="AI191" s="116"/>
      <c r="AJ191" s="26"/>
      <c r="AK191" s="26"/>
      <c r="AL191" s="121">
        <v>1</v>
      </c>
      <c r="AO191" s="121">
        <v>0</v>
      </c>
      <c r="AP191" s="121"/>
      <c r="AQ191" s="121">
        <v>0</v>
      </c>
      <c r="AR191" s="121"/>
      <c r="AU191" s="121">
        <v>0</v>
      </c>
      <c r="AV191" s="121"/>
      <c r="AY191" s="121">
        <v>2</v>
      </c>
    </row>
    <row r="192" spans="3:51">
      <c r="C192">
        <v>183</v>
      </c>
      <c r="D192" s="28">
        <v>71</v>
      </c>
      <c r="E192" s="38">
        <v>13.8</v>
      </c>
      <c r="F192" s="134"/>
      <c r="G192" s="134"/>
      <c r="I192" s="46">
        <v>0.21904761904761905</v>
      </c>
      <c r="L192" s="38">
        <v>1</v>
      </c>
      <c r="M192" s="55">
        <v>63</v>
      </c>
      <c r="N192" s="41">
        <v>5</v>
      </c>
      <c r="P192" s="26">
        <v>0</v>
      </c>
      <c r="Q192" s="41" t="s">
        <v>140</v>
      </c>
      <c r="W192" s="68">
        <v>2.79</v>
      </c>
      <c r="X192" s="26"/>
      <c r="Y192" s="91">
        <v>2</v>
      </c>
      <c r="Z192" s="90">
        <v>0.4</v>
      </c>
      <c r="AA192" s="87" t="s">
        <v>185</v>
      </c>
      <c r="AB192" s="73">
        <v>2</v>
      </c>
      <c r="AC192" s="107">
        <v>0.75</v>
      </c>
      <c r="AD192" s="108" t="s">
        <v>185</v>
      </c>
      <c r="AE192" s="41" t="s">
        <v>140</v>
      </c>
      <c r="AF192" s="116"/>
      <c r="AG192" s="26"/>
      <c r="AH192" s="26"/>
      <c r="AI192" s="116"/>
      <c r="AJ192" s="26"/>
      <c r="AK192" s="26"/>
      <c r="AL192" s="121">
        <v>2</v>
      </c>
      <c r="AO192" s="121">
        <v>0</v>
      </c>
      <c r="AP192" s="121"/>
      <c r="AQ192" s="121"/>
      <c r="AR192" s="121"/>
      <c r="AU192" s="121"/>
      <c r="AV192" s="121"/>
      <c r="AY192" s="121">
        <v>2</v>
      </c>
    </row>
    <row r="193" spans="3:51">
      <c r="C193">
        <v>184</v>
      </c>
      <c r="D193" s="29">
        <v>65</v>
      </c>
      <c r="E193" s="28">
        <v>6.55</v>
      </c>
      <c r="F193" s="135"/>
      <c r="G193" s="135"/>
      <c r="I193" s="46">
        <v>0.10916666666666666</v>
      </c>
      <c r="L193" s="28">
        <v>1</v>
      </c>
      <c r="M193" s="56">
        <v>60</v>
      </c>
      <c r="N193" s="57">
        <v>3</v>
      </c>
      <c r="P193" s="24">
        <v>0</v>
      </c>
      <c r="Q193" s="29" t="s">
        <v>140</v>
      </c>
      <c r="W193" s="68">
        <v>0.18</v>
      </c>
      <c r="X193" s="26"/>
      <c r="Y193" s="87">
        <v>2</v>
      </c>
      <c r="Z193" s="92">
        <v>0.4</v>
      </c>
      <c r="AA193" s="89" t="s">
        <v>174</v>
      </c>
      <c r="AB193" s="73">
        <v>0</v>
      </c>
      <c r="AC193" s="73">
        <v>0</v>
      </c>
      <c r="AD193" s="73" t="s">
        <v>203</v>
      </c>
      <c r="AE193" s="29" t="s">
        <v>140</v>
      </c>
      <c r="AF193" s="116"/>
      <c r="AG193" s="116"/>
      <c r="AH193" s="116"/>
      <c r="AI193" s="116"/>
      <c r="AJ193" s="116"/>
      <c r="AK193" s="116"/>
      <c r="AL193" s="122">
        <v>0</v>
      </c>
      <c r="AO193" s="121">
        <v>0</v>
      </c>
      <c r="AP193" s="122">
        <v>0</v>
      </c>
      <c r="AQ193" s="122">
        <v>0</v>
      </c>
      <c r="AR193" s="122"/>
      <c r="AU193" s="121">
        <v>0</v>
      </c>
      <c r="AV193" s="121"/>
      <c r="AY193" s="121">
        <v>0</v>
      </c>
    </row>
    <row r="194" spans="3:51">
      <c r="C194">
        <v>185</v>
      </c>
      <c r="D194" s="28">
        <v>69</v>
      </c>
      <c r="E194" s="28">
        <v>13</v>
      </c>
      <c r="F194" s="135"/>
      <c r="G194" s="135"/>
      <c r="I194" s="46">
        <v>0.3611111111111111</v>
      </c>
      <c r="L194" s="28">
        <v>1</v>
      </c>
      <c r="M194" s="56">
        <v>36</v>
      </c>
      <c r="N194" s="57">
        <v>5</v>
      </c>
      <c r="P194" s="26">
        <v>1</v>
      </c>
      <c r="Q194" s="29" t="s">
        <v>139</v>
      </c>
      <c r="W194" s="68">
        <v>1.36</v>
      </c>
      <c r="X194" s="26"/>
      <c r="Y194" s="87">
        <v>5</v>
      </c>
      <c r="Z194" s="87">
        <v>100</v>
      </c>
      <c r="AA194" s="93" t="s">
        <v>185</v>
      </c>
      <c r="AB194" s="110"/>
      <c r="AC194" s="111">
        <v>83.33</v>
      </c>
      <c r="AD194" s="112" t="s">
        <v>150</v>
      </c>
      <c r="AE194" s="29" t="s">
        <v>139</v>
      </c>
      <c r="AF194" s="116"/>
      <c r="AG194" s="26"/>
      <c r="AH194" s="26"/>
      <c r="AI194" s="116"/>
      <c r="AJ194" s="26"/>
      <c r="AK194" s="26"/>
      <c r="AL194" s="121">
        <v>1</v>
      </c>
      <c r="AO194" s="121">
        <v>0</v>
      </c>
      <c r="AP194" s="121">
        <v>0</v>
      </c>
      <c r="AQ194" s="121">
        <v>1</v>
      </c>
      <c r="AR194" s="121"/>
      <c r="AU194" s="121">
        <v>1</v>
      </c>
      <c r="AV194" s="121"/>
      <c r="AY194" s="121" t="s">
        <v>221</v>
      </c>
    </row>
    <row r="195" spans="3:51">
      <c r="C195">
        <v>186</v>
      </c>
      <c r="D195" s="29">
        <v>69</v>
      </c>
      <c r="E195" s="38">
        <v>4.9000000000000004</v>
      </c>
      <c r="F195" s="134"/>
      <c r="G195" s="134"/>
      <c r="I195" s="46">
        <v>0.12250000000000001</v>
      </c>
      <c r="L195" s="38">
        <v>1</v>
      </c>
      <c r="M195" s="55">
        <v>40</v>
      </c>
      <c r="N195" s="41">
        <v>4</v>
      </c>
      <c r="P195" s="24">
        <v>0</v>
      </c>
      <c r="Q195" s="41" t="s">
        <v>140</v>
      </c>
      <c r="W195" s="68">
        <v>0.47</v>
      </c>
      <c r="X195" s="26">
        <v>10</v>
      </c>
      <c r="Y195" s="94">
        <v>2</v>
      </c>
      <c r="Z195" s="92">
        <v>0.9</v>
      </c>
      <c r="AA195" s="89" t="s">
        <v>158</v>
      </c>
      <c r="AB195" s="73">
        <v>2</v>
      </c>
      <c r="AC195" s="109">
        <v>0.75</v>
      </c>
      <c r="AD195" s="73" t="s">
        <v>158</v>
      </c>
      <c r="AE195" s="41" t="s">
        <v>140</v>
      </c>
      <c r="AF195" s="116"/>
      <c r="AG195" s="116"/>
      <c r="AH195" s="116"/>
      <c r="AI195" s="116"/>
      <c r="AJ195" s="116"/>
      <c r="AK195" s="116"/>
      <c r="AL195" s="122">
        <v>2</v>
      </c>
      <c r="AO195" s="121">
        <v>0</v>
      </c>
      <c r="AP195" s="122">
        <v>0</v>
      </c>
      <c r="AQ195" s="122">
        <v>1</v>
      </c>
      <c r="AR195" s="122" t="s">
        <v>140</v>
      </c>
      <c r="AU195" s="121">
        <v>0</v>
      </c>
      <c r="AV195" s="121"/>
      <c r="AY195" s="121" t="s">
        <v>220</v>
      </c>
    </row>
    <row r="196" spans="3:51">
      <c r="C196">
        <v>187</v>
      </c>
      <c r="D196" s="28">
        <v>69</v>
      </c>
      <c r="E196" s="38">
        <v>11.5</v>
      </c>
      <c r="F196" s="134"/>
      <c r="G196" s="134"/>
      <c r="I196" s="46">
        <v>0.46</v>
      </c>
      <c r="L196" s="38">
        <v>1</v>
      </c>
      <c r="M196" s="55">
        <v>25</v>
      </c>
      <c r="N196" s="41">
        <v>4</v>
      </c>
      <c r="P196" s="24">
        <v>0</v>
      </c>
      <c r="Q196" s="41" t="s">
        <v>140</v>
      </c>
      <c r="W196" s="68">
        <v>1.06</v>
      </c>
      <c r="X196" s="26"/>
      <c r="Y196" s="94">
        <v>2</v>
      </c>
      <c r="Z196" s="90">
        <v>0.8</v>
      </c>
      <c r="AA196" s="87" t="s">
        <v>158</v>
      </c>
      <c r="AB196" s="73">
        <v>2</v>
      </c>
      <c r="AC196" s="107">
        <v>0.5</v>
      </c>
      <c r="AD196" s="108" t="s">
        <v>155</v>
      </c>
      <c r="AE196" s="41" t="s">
        <v>140</v>
      </c>
      <c r="AF196" s="116"/>
      <c r="AG196" s="26"/>
      <c r="AH196" s="26"/>
      <c r="AI196" s="116"/>
      <c r="AJ196" s="26"/>
      <c r="AK196" s="26"/>
      <c r="AL196" s="121">
        <v>2</v>
      </c>
      <c r="AO196" s="121">
        <v>0</v>
      </c>
      <c r="AP196" s="121">
        <v>0</v>
      </c>
      <c r="AQ196" s="121">
        <v>0</v>
      </c>
      <c r="AR196" s="121"/>
      <c r="AU196" s="121">
        <v>0</v>
      </c>
      <c r="AV196" s="121"/>
      <c r="AY196" s="121">
        <v>2</v>
      </c>
    </row>
    <row r="197" spans="3:51">
      <c r="C197">
        <v>188</v>
      </c>
      <c r="D197" s="29">
        <v>62</v>
      </c>
      <c r="E197" s="29">
        <v>6.61</v>
      </c>
      <c r="F197" s="138"/>
      <c r="G197" s="138"/>
      <c r="I197" s="46">
        <v>0.16948717948717951</v>
      </c>
      <c r="L197" s="29">
        <v>0</v>
      </c>
      <c r="M197" s="57">
        <v>39</v>
      </c>
      <c r="N197" s="57">
        <v>4</v>
      </c>
      <c r="P197" s="24">
        <v>0</v>
      </c>
      <c r="Q197" s="29" t="s">
        <v>139</v>
      </c>
      <c r="W197" s="68">
        <v>0.76</v>
      </c>
      <c r="X197" s="26"/>
      <c r="Y197" s="89">
        <v>2</v>
      </c>
      <c r="Z197" s="92">
        <v>0.15</v>
      </c>
      <c r="AA197" s="89" t="s">
        <v>175</v>
      </c>
      <c r="AB197" s="73">
        <v>2</v>
      </c>
      <c r="AC197" s="73"/>
      <c r="AD197" s="73" t="s">
        <v>155</v>
      </c>
      <c r="AE197" s="29" t="s">
        <v>139</v>
      </c>
      <c r="AF197" s="116"/>
      <c r="AG197" s="116"/>
      <c r="AH197" s="116"/>
      <c r="AI197" s="116"/>
      <c r="AJ197" s="116"/>
      <c r="AK197" s="116"/>
      <c r="AL197" s="122">
        <v>2</v>
      </c>
      <c r="AO197" s="122">
        <v>0</v>
      </c>
      <c r="AP197" s="122">
        <v>0</v>
      </c>
      <c r="AQ197" s="122">
        <v>0</v>
      </c>
      <c r="AR197" s="122"/>
      <c r="AU197" s="121">
        <v>0</v>
      </c>
      <c r="AV197" s="121"/>
      <c r="AY197" s="122">
        <v>2</v>
      </c>
    </row>
    <row r="198" spans="3:51">
      <c r="C198">
        <v>189</v>
      </c>
      <c r="D198" s="28">
        <v>72</v>
      </c>
      <c r="E198" s="28">
        <v>19</v>
      </c>
      <c r="F198" s="135"/>
      <c r="G198" s="135"/>
      <c r="I198" s="46">
        <v>0.31147540983606559</v>
      </c>
      <c r="L198" s="28">
        <v>1</v>
      </c>
      <c r="M198" s="56">
        <v>61</v>
      </c>
      <c r="N198" s="57">
        <v>5</v>
      </c>
      <c r="P198" s="24">
        <v>0</v>
      </c>
      <c r="Q198" s="29" t="s">
        <v>139</v>
      </c>
      <c r="W198" s="68">
        <v>2.11</v>
      </c>
      <c r="X198" s="26">
        <v>16</v>
      </c>
      <c r="Y198" s="87">
        <v>2</v>
      </c>
      <c r="Z198" s="90">
        <v>0.5</v>
      </c>
      <c r="AA198" s="87" t="s">
        <v>166</v>
      </c>
      <c r="AB198" s="73">
        <v>2</v>
      </c>
      <c r="AC198" s="107">
        <v>0</v>
      </c>
      <c r="AD198" s="108" t="s">
        <v>204</v>
      </c>
      <c r="AE198" s="29" t="s">
        <v>139</v>
      </c>
      <c r="AF198" s="116"/>
      <c r="AG198" s="26"/>
      <c r="AH198" s="26"/>
      <c r="AI198" s="116"/>
      <c r="AJ198" s="26"/>
      <c r="AK198" s="26"/>
      <c r="AL198" s="121">
        <v>2</v>
      </c>
      <c r="AO198" s="121">
        <v>0</v>
      </c>
      <c r="AP198" s="121"/>
      <c r="AQ198" s="121">
        <v>0</v>
      </c>
      <c r="AR198" s="121"/>
      <c r="AU198" s="121">
        <v>0</v>
      </c>
      <c r="AV198" s="121"/>
      <c r="AY198" s="121">
        <v>2</v>
      </c>
    </row>
    <row r="199" spans="3:51">
      <c r="C199">
        <v>190</v>
      </c>
      <c r="D199" s="28">
        <v>68</v>
      </c>
      <c r="E199" s="28">
        <v>6.48</v>
      </c>
      <c r="F199" s="135"/>
      <c r="G199" s="135"/>
      <c r="I199" s="46">
        <v>0.21600000000000003</v>
      </c>
      <c r="L199" s="28">
        <v>0</v>
      </c>
      <c r="M199" s="56">
        <v>30</v>
      </c>
      <c r="N199" s="57">
        <v>5</v>
      </c>
      <c r="P199" s="24">
        <v>0</v>
      </c>
      <c r="Q199" s="29" t="s">
        <v>140</v>
      </c>
      <c r="W199" s="67">
        <v>0.82</v>
      </c>
      <c r="X199" s="26"/>
      <c r="Y199" s="87">
        <v>2</v>
      </c>
      <c r="Z199" s="90">
        <v>0.73</v>
      </c>
      <c r="AA199" s="87" t="s">
        <v>158</v>
      </c>
      <c r="AB199" s="73">
        <v>2</v>
      </c>
      <c r="AC199" s="107">
        <v>0.35</v>
      </c>
      <c r="AD199" s="108" t="s">
        <v>205</v>
      </c>
      <c r="AE199" s="29" t="s">
        <v>140</v>
      </c>
      <c r="AF199" s="116"/>
      <c r="AG199" s="26"/>
      <c r="AH199" s="26"/>
      <c r="AI199" s="116"/>
      <c r="AJ199" s="26"/>
      <c r="AK199" s="26"/>
      <c r="AL199" s="121">
        <v>1</v>
      </c>
      <c r="AO199" s="121">
        <v>0</v>
      </c>
      <c r="AP199" s="121"/>
      <c r="AQ199" s="121">
        <v>0</v>
      </c>
      <c r="AR199" s="121"/>
      <c r="AU199" s="121">
        <v>0</v>
      </c>
      <c r="AV199" s="121"/>
      <c r="AY199" s="121">
        <v>2</v>
      </c>
    </row>
    <row r="200" spans="3:51">
      <c r="C200">
        <v>191</v>
      </c>
      <c r="D200" s="28">
        <v>71</v>
      </c>
      <c r="E200" s="28">
        <v>16</v>
      </c>
      <c r="F200" s="135"/>
      <c r="G200" s="135"/>
      <c r="I200" s="46">
        <v>0.16326530612244897</v>
      </c>
      <c r="L200" s="28">
        <v>1</v>
      </c>
      <c r="M200" s="56">
        <v>98</v>
      </c>
      <c r="N200" s="57">
        <v>5</v>
      </c>
      <c r="P200" s="26">
        <v>1</v>
      </c>
      <c r="Q200" s="29" t="s">
        <v>139</v>
      </c>
      <c r="W200" s="67">
        <v>2.41</v>
      </c>
      <c r="X200" s="26">
        <v>20</v>
      </c>
      <c r="Y200" s="89">
        <v>4</v>
      </c>
      <c r="Z200" s="90">
        <v>1</v>
      </c>
      <c r="AA200" s="87" t="s">
        <v>158</v>
      </c>
      <c r="AB200" s="73">
        <v>3</v>
      </c>
      <c r="AC200" s="107">
        <v>0.65</v>
      </c>
      <c r="AD200" s="108" t="s">
        <v>155</v>
      </c>
      <c r="AE200" s="29" t="s">
        <v>139</v>
      </c>
      <c r="AF200" s="116"/>
      <c r="AG200" s="26"/>
      <c r="AH200" s="26"/>
      <c r="AI200" s="116"/>
      <c r="AJ200" s="26"/>
      <c r="AK200" s="26"/>
      <c r="AL200" s="121">
        <v>4</v>
      </c>
      <c r="AO200" s="121">
        <v>1</v>
      </c>
      <c r="AP200" s="121">
        <v>1</v>
      </c>
      <c r="AQ200" s="121">
        <v>1</v>
      </c>
      <c r="AR200" s="121" t="s">
        <v>140</v>
      </c>
      <c r="AU200" s="121">
        <v>0</v>
      </c>
      <c r="AV200" s="121"/>
      <c r="AY200" s="121" t="s">
        <v>220</v>
      </c>
    </row>
    <row r="201" spans="3:51">
      <c r="C201">
        <v>192</v>
      </c>
      <c r="D201" s="29">
        <v>72</v>
      </c>
      <c r="E201" s="38">
        <v>10.5</v>
      </c>
      <c r="F201" s="134"/>
      <c r="G201" s="134"/>
      <c r="I201" s="46">
        <v>0.21428571428571427</v>
      </c>
      <c r="L201" s="38">
        <v>0</v>
      </c>
      <c r="M201" s="55">
        <v>49</v>
      </c>
      <c r="N201" s="41">
        <v>4</v>
      </c>
      <c r="P201" s="24">
        <v>0</v>
      </c>
      <c r="Q201" s="41" t="s">
        <v>139</v>
      </c>
      <c r="W201" s="68">
        <v>3.87</v>
      </c>
      <c r="X201" s="26"/>
      <c r="Y201" s="87">
        <v>1</v>
      </c>
      <c r="Z201" s="92">
        <v>1</v>
      </c>
      <c r="AA201" s="89" t="s">
        <v>186</v>
      </c>
      <c r="AB201" s="73">
        <v>1</v>
      </c>
      <c r="AC201" s="109">
        <v>1</v>
      </c>
      <c r="AD201" s="73" t="s">
        <v>176</v>
      </c>
      <c r="AE201" s="41" t="s">
        <v>139</v>
      </c>
      <c r="AF201" s="116"/>
      <c r="AG201" s="116"/>
      <c r="AH201" s="116"/>
      <c r="AI201" s="116"/>
      <c r="AJ201" s="116"/>
      <c r="AK201" s="116"/>
      <c r="AL201" s="122">
        <v>2</v>
      </c>
      <c r="AO201" s="121">
        <v>0</v>
      </c>
      <c r="AP201" s="122"/>
      <c r="AQ201" s="122">
        <v>0</v>
      </c>
      <c r="AR201" s="122"/>
      <c r="AU201" s="121">
        <v>0</v>
      </c>
      <c r="AV201" s="121"/>
      <c r="AY201" s="121">
        <v>2</v>
      </c>
    </row>
    <row r="202" spans="3:51">
      <c r="C202">
        <v>193</v>
      </c>
      <c r="D202" s="29">
        <v>74</v>
      </c>
      <c r="E202" s="41">
        <v>7.7</v>
      </c>
      <c r="F202" s="139"/>
      <c r="G202" s="139"/>
      <c r="I202" s="46">
        <v>0.17906976744186046</v>
      </c>
      <c r="L202" s="41">
        <v>1</v>
      </c>
      <c r="M202" s="58">
        <v>43</v>
      </c>
      <c r="N202" s="41">
        <v>3</v>
      </c>
      <c r="P202" s="24">
        <v>0</v>
      </c>
      <c r="Q202" s="41" t="s">
        <v>139</v>
      </c>
      <c r="W202" s="68">
        <v>7.41</v>
      </c>
      <c r="X202" s="26"/>
      <c r="Y202" s="89">
        <v>4</v>
      </c>
      <c r="Z202" s="92">
        <v>1</v>
      </c>
      <c r="AA202" s="89" t="s">
        <v>187</v>
      </c>
      <c r="AB202" s="73"/>
      <c r="AC202" s="73"/>
      <c r="AD202" s="73"/>
      <c r="AE202" s="41" t="s">
        <v>139</v>
      </c>
      <c r="AF202" s="116"/>
      <c r="AG202" s="116"/>
      <c r="AH202" s="116"/>
      <c r="AI202" s="116"/>
      <c r="AJ202" s="116"/>
      <c r="AK202" s="116"/>
      <c r="AL202" s="122">
        <v>3</v>
      </c>
      <c r="AO202" s="122">
        <v>1</v>
      </c>
      <c r="AP202" s="122">
        <v>0</v>
      </c>
      <c r="AQ202" s="122">
        <v>1</v>
      </c>
      <c r="AR202" s="122" t="s">
        <v>140</v>
      </c>
      <c r="AU202" s="121">
        <v>0</v>
      </c>
      <c r="AV202" s="121"/>
      <c r="AY202" s="122" t="s">
        <v>220</v>
      </c>
    </row>
    <row r="203" spans="3:51">
      <c r="C203">
        <v>194</v>
      </c>
      <c r="D203" s="28">
        <v>57</v>
      </c>
      <c r="E203" s="28">
        <v>7.4</v>
      </c>
      <c r="F203" s="135"/>
      <c r="G203" s="135"/>
      <c r="I203" s="46">
        <v>0.185</v>
      </c>
      <c r="L203" s="28">
        <v>1</v>
      </c>
      <c r="M203" s="56">
        <v>40</v>
      </c>
      <c r="N203" s="57">
        <v>5</v>
      </c>
      <c r="P203" s="24">
        <v>0</v>
      </c>
      <c r="Q203" s="29" t="s">
        <v>139</v>
      </c>
      <c r="W203" s="67">
        <v>0</v>
      </c>
      <c r="X203" s="26"/>
      <c r="Y203" s="89">
        <v>2</v>
      </c>
      <c r="Z203" s="90">
        <v>0.42</v>
      </c>
      <c r="AA203" s="87" t="s">
        <v>188</v>
      </c>
      <c r="AB203" s="73">
        <v>1</v>
      </c>
      <c r="AC203" s="107">
        <v>0.17</v>
      </c>
      <c r="AD203" s="108" t="s">
        <v>161</v>
      </c>
      <c r="AE203" s="29" t="s">
        <v>139</v>
      </c>
      <c r="AF203" s="116"/>
      <c r="AG203" s="26"/>
      <c r="AH203" s="26"/>
      <c r="AI203" s="116">
        <v>1</v>
      </c>
      <c r="AJ203" s="97">
        <v>7.0000000000000007E-2</v>
      </c>
      <c r="AK203" s="26" t="s">
        <v>161</v>
      </c>
      <c r="AL203" s="121">
        <v>2</v>
      </c>
      <c r="AO203" s="121">
        <v>0</v>
      </c>
      <c r="AP203" s="121"/>
      <c r="AQ203" s="121">
        <v>0</v>
      </c>
      <c r="AR203" s="121"/>
      <c r="AU203" s="121">
        <v>0</v>
      </c>
      <c r="AV203" s="121"/>
      <c r="AY203" s="121">
        <v>2</v>
      </c>
    </row>
    <row r="204" spans="3:51">
      <c r="C204">
        <v>195</v>
      </c>
      <c r="D204" s="26">
        <v>67</v>
      </c>
      <c r="E204" s="42">
        <v>6.2</v>
      </c>
      <c r="F204" s="140"/>
      <c r="G204" s="140"/>
      <c r="I204" s="46">
        <v>0.26956521739130435</v>
      </c>
      <c r="L204" s="44">
        <v>0</v>
      </c>
      <c r="M204" s="59">
        <v>23</v>
      </c>
      <c r="N204" s="41">
        <v>3</v>
      </c>
      <c r="P204" s="24">
        <v>0</v>
      </c>
      <c r="Q204" s="41" t="s">
        <v>140</v>
      </c>
      <c r="W204" s="69">
        <v>0.38</v>
      </c>
      <c r="X204" s="26"/>
      <c r="Y204" s="89">
        <v>1</v>
      </c>
      <c r="Z204" s="90">
        <v>1</v>
      </c>
      <c r="AA204" s="87" t="s">
        <v>158</v>
      </c>
      <c r="AB204" s="73">
        <v>1</v>
      </c>
      <c r="AC204" s="107">
        <v>1</v>
      </c>
      <c r="AD204" s="108" t="s">
        <v>162</v>
      </c>
      <c r="AE204" s="41" t="s">
        <v>140</v>
      </c>
      <c r="AF204" s="116"/>
      <c r="AG204" s="26"/>
      <c r="AH204" s="26"/>
      <c r="AI204" s="116">
        <v>1</v>
      </c>
      <c r="AJ204" s="97">
        <v>1</v>
      </c>
      <c r="AK204" s="26" t="s">
        <v>176</v>
      </c>
      <c r="AL204" s="121">
        <v>2</v>
      </c>
      <c r="AO204" s="121">
        <v>1</v>
      </c>
      <c r="AP204" s="121"/>
      <c r="AQ204" s="121">
        <v>1</v>
      </c>
      <c r="AR204" s="121" t="s">
        <v>139</v>
      </c>
      <c r="AU204" s="121">
        <v>0</v>
      </c>
      <c r="AV204" s="121"/>
      <c r="AY204" s="121" t="s">
        <v>220</v>
      </c>
    </row>
    <row r="205" spans="3:51">
      <c r="C205">
        <v>196</v>
      </c>
      <c r="D205" s="26">
        <v>69</v>
      </c>
      <c r="E205" s="26">
        <v>6.8</v>
      </c>
      <c r="F205" s="71"/>
      <c r="G205" s="71"/>
      <c r="I205" s="46">
        <v>0.1517857142857143</v>
      </c>
      <c r="L205" s="26">
        <v>1</v>
      </c>
      <c r="M205" s="53">
        <v>44.8</v>
      </c>
      <c r="N205" s="26">
        <v>4</v>
      </c>
      <c r="P205" s="24">
        <v>0</v>
      </c>
      <c r="Q205" s="26" t="s">
        <v>141</v>
      </c>
      <c r="W205" s="45">
        <v>0.26</v>
      </c>
      <c r="X205" s="26"/>
      <c r="Y205" s="26">
        <v>3</v>
      </c>
      <c r="Z205" s="26">
        <v>50</v>
      </c>
      <c r="AA205" s="26" t="s">
        <v>123</v>
      </c>
      <c r="AB205" s="26">
        <v>2</v>
      </c>
      <c r="AC205" s="26">
        <v>25</v>
      </c>
      <c r="AD205" s="26" t="s">
        <v>67</v>
      </c>
      <c r="AE205" s="26" t="s">
        <v>141</v>
      </c>
      <c r="AF205" s="26"/>
      <c r="AG205" s="26"/>
      <c r="AH205" s="26"/>
      <c r="AI205" s="26"/>
      <c r="AJ205" s="26"/>
      <c r="AK205" s="26"/>
      <c r="AL205" s="26">
        <v>4</v>
      </c>
      <c r="AO205" s="26">
        <v>0</v>
      </c>
      <c r="AP205" s="26">
        <v>0</v>
      </c>
      <c r="AQ205" s="26">
        <v>0</v>
      </c>
      <c r="AR205" s="26"/>
      <c r="AU205" s="121"/>
      <c r="AV205" s="121"/>
      <c r="AY205" s="26">
        <v>2</v>
      </c>
    </row>
    <row r="206" spans="3:51">
      <c r="C206">
        <v>197</v>
      </c>
      <c r="D206" s="26">
        <v>72</v>
      </c>
      <c r="E206" s="26">
        <v>7</v>
      </c>
      <c r="F206" s="71"/>
      <c r="G206" s="71"/>
      <c r="I206" s="46">
        <v>0.14736842105263157</v>
      </c>
      <c r="L206" s="26">
        <v>0</v>
      </c>
      <c r="M206" s="53">
        <v>47.5</v>
      </c>
      <c r="N206" s="26">
        <v>4</v>
      </c>
      <c r="P206" s="24">
        <v>0</v>
      </c>
      <c r="Q206" s="26" t="s">
        <v>141</v>
      </c>
      <c r="W206" s="45">
        <v>0.3</v>
      </c>
      <c r="X206" s="26"/>
      <c r="Y206" s="26">
        <v>2</v>
      </c>
      <c r="Z206" s="26">
        <v>60</v>
      </c>
      <c r="AA206" s="26" t="s">
        <v>55</v>
      </c>
      <c r="AB206" s="26">
        <v>2</v>
      </c>
      <c r="AC206" s="26">
        <v>50</v>
      </c>
      <c r="AD206" s="26" t="s">
        <v>177</v>
      </c>
      <c r="AE206" s="26" t="s">
        <v>141</v>
      </c>
      <c r="AF206" s="26"/>
      <c r="AG206" s="26"/>
      <c r="AH206" s="26"/>
      <c r="AI206" s="26"/>
      <c r="AJ206" s="26"/>
      <c r="AK206" s="26"/>
      <c r="AL206" s="26">
        <v>2</v>
      </c>
      <c r="AO206" s="26">
        <v>0</v>
      </c>
      <c r="AP206" s="26">
        <v>0</v>
      </c>
      <c r="AQ206" s="26">
        <v>1</v>
      </c>
      <c r="AR206" s="26" t="s">
        <v>141</v>
      </c>
      <c r="AU206" s="121"/>
      <c r="AV206" s="121"/>
      <c r="AY206" s="26" t="s">
        <v>220</v>
      </c>
    </row>
    <row r="207" spans="3:51">
      <c r="C207">
        <v>198</v>
      </c>
      <c r="D207" s="26">
        <v>64</v>
      </c>
      <c r="E207" s="26">
        <v>5.8</v>
      </c>
      <c r="F207" s="71"/>
      <c r="G207" s="71"/>
      <c r="I207" s="46">
        <v>0.17469879518072287</v>
      </c>
      <c r="L207" s="26">
        <v>1</v>
      </c>
      <c r="M207" s="53">
        <v>33.200000000000003</v>
      </c>
      <c r="N207" s="26">
        <v>4</v>
      </c>
      <c r="P207" s="24">
        <v>0</v>
      </c>
      <c r="Q207" s="26" t="s">
        <v>141</v>
      </c>
      <c r="W207" s="45">
        <v>0.4</v>
      </c>
      <c r="X207" s="26"/>
      <c r="Y207" s="26">
        <v>2</v>
      </c>
      <c r="Z207" s="26">
        <v>65</v>
      </c>
      <c r="AA207" s="26" t="s">
        <v>55</v>
      </c>
      <c r="AB207" s="26">
        <v>1</v>
      </c>
      <c r="AC207" s="26">
        <v>40</v>
      </c>
      <c r="AD207" s="26" t="s">
        <v>123</v>
      </c>
      <c r="AE207" s="26" t="s">
        <v>141</v>
      </c>
      <c r="AF207" s="26"/>
      <c r="AG207" s="26"/>
      <c r="AH207" s="26"/>
      <c r="AI207" s="26"/>
      <c r="AJ207" s="26"/>
      <c r="AK207" s="26"/>
      <c r="AL207" s="26">
        <v>3</v>
      </c>
      <c r="AO207" s="26">
        <v>0</v>
      </c>
      <c r="AP207" s="26">
        <v>0</v>
      </c>
      <c r="AQ207" s="26">
        <v>1</v>
      </c>
      <c r="AR207" s="26" t="s">
        <v>141</v>
      </c>
      <c r="AU207" s="121"/>
      <c r="AV207" s="121"/>
      <c r="AY207" s="26" t="s">
        <v>220</v>
      </c>
    </row>
    <row r="208" spans="3:51">
      <c r="C208">
        <v>199</v>
      </c>
      <c r="D208" s="26">
        <v>60</v>
      </c>
      <c r="E208" s="26">
        <v>5.4</v>
      </c>
      <c r="F208" s="71"/>
      <c r="G208" s="71"/>
      <c r="I208" s="46">
        <v>0.20224719101123598</v>
      </c>
      <c r="L208" s="26">
        <v>1</v>
      </c>
      <c r="M208" s="53">
        <v>26.7</v>
      </c>
      <c r="N208" s="26">
        <v>4</v>
      </c>
      <c r="P208" s="24">
        <v>0</v>
      </c>
      <c r="Q208" s="26" t="s">
        <v>141</v>
      </c>
      <c r="W208" s="45">
        <v>0.62</v>
      </c>
      <c r="X208" s="26"/>
      <c r="Y208" s="26">
        <v>2</v>
      </c>
      <c r="Z208" s="26">
        <v>90</v>
      </c>
      <c r="AA208" s="26" t="s">
        <v>42</v>
      </c>
      <c r="AB208" s="26">
        <v>2</v>
      </c>
      <c r="AC208" s="26">
        <v>80</v>
      </c>
      <c r="AD208" s="26" t="s">
        <v>123</v>
      </c>
      <c r="AE208" s="26" t="s">
        <v>141</v>
      </c>
      <c r="AF208" s="26"/>
      <c r="AG208" s="26"/>
      <c r="AH208" s="26"/>
      <c r="AI208" s="26"/>
      <c r="AJ208" s="26"/>
      <c r="AK208" s="26"/>
      <c r="AL208" s="26">
        <v>3</v>
      </c>
      <c r="AO208" s="26">
        <v>0</v>
      </c>
      <c r="AP208" s="26">
        <v>0</v>
      </c>
      <c r="AQ208" s="26">
        <v>0</v>
      </c>
      <c r="AR208" s="26"/>
      <c r="AU208" s="121"/>
      <c r="AV208" s="121"/>
      <c r="AY208" s="26">
        <v>2</v>
      </c>
    </row>
    <row r="209" spans="3:51">
      <c r="C209">
        <v>200</v>
      </c>
      <c r="D209" s="30" t="s">
        <v>136</v>
      </c>
      <c r="E209" s="43">
        <v>16</v>
      </c>
      <c r="F209" s="141"/>
      <c r="G209" s="141"/>
      <c r="I209" s="46">
        <v>0.34782608695652173</v>
      </c>
      <c r="L209" s="44">
        <v>1</v>
      </c>
      <c r="M209" s="55">
        <v>46</v>
      </c>
      <c r="N209" s="44">
        <v>5</v>
      </c>
      <c r="P209" s="24">
        <v>0</v>
      </c>
      <c r="Q209" s="26" t="s">
        <v>139</v>
      </c>
      <c r="W209" s="69">
        <v>4.63</v>
      </c>
      <c r="X209" s="26">
        <v>20</v>
      </c>
      <c r="Y209" s="95">
        <v>1</v>
      </c>
      <c r="Z209" s="26">
        <v>90</v>
      </c>
      <c r="AA209" s="29" t="s">
        <v>189</v>
      </c>
      <c r="AB209" s="113"/>
      <c r="AC209" s="113"/>
      <c r="AD209" s="113"/>
      <c r="AE209" s="26" t="s">
        <v>139</v>
      </c>
      <c r="AF209" s="117"/>
      <c r="AG209" s="118"/>
      <c r="AH209" s="117"/>
      <c r="AI209" s="117"/>
      <c r="AJ209" s="118"/>
      <c r="AK209" s="117"/>
      <c r="AL209" s="113">
        <v>1</v>
      </c>
      <c r="AO209" s="113">
        <v>0</v>
      </c>
      <c r="AP209" s="113"/>
      <c r="AQ209" s="113">
        <v>0</v>
      </c>
      <c r="AR209" s="113">
        <v>0</v>
      </c>
      <c r="AU209" s="121">
        <v>0</v>
      </c>
      <c r="AV209" s="121">
        <v>0</v>
      </c>
      <c r="AY209" s="113">
        <v>2</v>
      </c>
    </row>
    <row r="210" spans="3:51">
      <c r="C210">
        <v>201</v>
      </c>
      <c r="D210" s="26">
        <v>67</v>
      </c>
      <c r="E210" s="26">
        <v>5.0999999999999996</v>
      </c>
      <c r="F210" s="71"/>
      <c r="G210" s="71"/>
      <c r="I210" s="46">
        <v>9.8076923076923075E-2</v>
      </c>
      <c r="L210" s="26">
        <v>0</v>
      </c>
      <c r="M210" s="53">
        <v>52</v>
      </c>
      <c r="N210" s="57">
        <v>5</v>
      </c>
      <c r="P210" s="24">
        <v>0</v>
      </c>
      <c r="Q210" s="73" t="s">
        <v>140</v>
      </c>
      <c r="W210" s="69">
        <v>1.23</v>
      </c>
      <c r="X210" s="26"/>
      <c r="Y210" s="96">
        <v>1</v>
      </c>
      <c r="Z210" s="97">
        <v>0.03</v>
      </c>
      <c r="AA210" s="26" t="s">
        <v>190</v>
      </c>
      <c r="AB210" s="114"/>
      <c r="AC210" s="26"/>
      <c r="AD210" s="26"/>
      <c r="AE210" s="73" t="s">
        <v>140</v>
      </c>
      <c r="AF210" s="29"/>
      <c r="AG210" s="26"/>
      <c r="AH210" s="26"/>
      <c r="AI210" s="117"/>
      <c r="AJ210" s="26"/>
      <c r="AK210" s="26"/>
      <c r="AL210" s="26">
        <v>2</v>
      </c>
      <c r="AO210" s="26">
        <v>0</v>
      </c>
      <c r="AP210" s="26"/>
      <c r="AQ210" s="26">
        <v>0</v>
      </c>
      <c r="AR210" s="26"/>
      <c r="AU210" s="121">
        <v>1</v>
      </c>
      <c r="AV210" s="121"/>
      <c r="AY210" s="26">
        <v>2</v>
      </c>
    </row>
    <row r="211" spans="3:51">
      <c r="C211">
        <v>202</v>
      </c>
      <c r="D211" s="26">
        <v>70</v>
      </c>
      <c r="E211" s="26">
        <v>7</v>
      </c>
      <c r="F211" s="71"/>
      <c r="G211" s="71"/>
      <c r="I211" s="46">
        <v>0.17073170731707318</v>
      </c>
      <c r="L211" s="26">
        <v>1</v>
      </c>
      <c r="M211" s="53">
        <v>41</v>
      </c>
      <c r="N211" s="57">
        <v>5</v>
      </c>
      <c r="P211" s="24">
        <v>0</v>
      </c>
      <c r="Q211" s="73" t="s">
        <v>139</v>
      </c>
      <c r="W211" s="69">
        <v>0.59</v>
      </c>
      <c r="X211" s="26"/>
      <c r="Y211" s="98">
        <v>1</v>
      </c>
      <c r="Z211" s="97">
        <v>0.12</v>
      </c>
      <c r="AA211" s="26" t="s">
        <v>175</v>
      </c>
      <c r="AB211" s="114"/>
      <c r="AC211" s="26"/>
      <c r="AD211" s="26"/>
      <c r="AE211" s="73" t="s">
        <v>139</v>
      </c>
      <c r="AF211" s="29"/>
      <c r="AG211" s="26"/>
      <c r="AH211" s="26"/>
      <c r="AI211" s="117"/>
      <c r="AJ211" s="26"/>
      <c r="AK211" s="26"/>
      <c r="AL211" s="26">
        <v>1</v>
      </c>
      <c r="AO211" s="26">
        <v>0</v>
      </c>
      <c r="AP211" s="26">
        <v>0</v>
      </c>
      <c r="AQ211" s="26">
        <v>0</v>
      </c>
      <c r="AR211" s="26"/>
      <c r="AU211" s="121">
        <v>0</v>
      </c>
      <c r="AV211" s="121"/>
      <c r="AY211" s="26">
        <v>2</v>
      </c>
    </row>
    <row r="212" spans="3:51">
      <c r="C212">
        <v>203</v>
      </c>
      <c r="D212" s="26">
        <v>68</v>
      </c>
      <c r="E212" s="26">
        <v>5.23</v>
      </c>
      <c r="F212" s="71"/>
      <c r="G212" s="71"/>
      <c r="I212" s="46">
        <v>9.0172413793103451E-2</v>
      </c>
      <c r="L212" s="26">
        <v>0</v>
      </c>
      <c r="M212" s="53">
        <v>58</v>
      </c>
      <c r="N212" s="57">
        <v>5</v>
      </c>
      <c r="P212" s="24">
        <v>0</v>
      </c>
      <c r="Q212" s="73" t="s">
        <v>139</v>
      </c>
      <c r="W212" s="69">
        <v>3.59</v>
      </c>
      <c r="X212" s="26"/>
      <c r="Y212" s="98">
        <v>3</v>
      </c>
      <c r="Z212" s="97">
        <v>0.3</v>
      </c>
      <c r="AA212" s="26" t="s">
        <v>175</v>
      </c>
      <c r="AB212" s="114"/>
      <c r="AC212" s="26"/>
      <c r="AD212" s="26"/>
      <c r="AE212" s="73" t="s">
        <v>139</v>
      </c>
      <c r="AF212" s="29"/>
      <c r="AG212" s="26"/>
      <c r="AH212" s="26"/>
      <c r="AI212" s="117"/>
      <c r="AJ212" s="26"/>
      <c r="AK212" s="26"/>
      <c r="AL212" s="26">
        <v>3</v>
      </c>
      <c r="AO212" s="26">
        <v>0</v>
      </c>
      <c r="AP212" s="26"/>
      <c r="AQ212" s="26">
        <v>0</v>
      </c>
      <c r="AR212" s="26"/>
      <c r="AU212" s="121">
        <v>0</v>
      </c>
      <c r="AV212" s="121"/>
      <c r="AY212" s="26">
        <v>2</v>
      </c>
    </row>
    <row r="213" spans="3:51">
      <c r="C213">
        <v>204</v>
      </c>
      <c r="D213" s="26">
        <v>72</v>
      </c>
      <c r="E213" s="42">
        <v>12</v>
      </c>
      <c r="F213" s="140"/>
      <c r="G213" s="140"/>
      <c r="I213" s="46">
        <v>0.4</v>
      </c>
      <c r="L213" s="44"/>
      <c r="M213" s="59">
        <v>30</v>
      </c>
      <c r="N213" s="41">
        <v>4</v>
      </c>
      <c r="P213" s="24">
        <v>0</v>
      </c>
      <c r="Q213" s="26" t="s">
        <v>139</v>
      </c>
      <c r="W213" s="69">
        <v>0.2</v>
      </c>
      <c r="X213" s="26"/>
      <c r="Y213" s="99">
        <v>2</v>
      </c>
      <c r="Z213" s="97">
        <v>0.37</v>
      </c>
      <c r="AA213" s="26" t="s">
        <v>182</v>
      </c>
      <c r="AB213" s="114"/>
      <c r="AC213" s="26"/>
      <c r="AD213" s="26"/>
      <c r="AE213" s="26" t="s">
        <v>139</v>
      </c>
      <c r="AF213" s="29"/>
      <c r="AG213" s="26"/>
      <c r="AH213" s="26"/>
      <c r="AI213" s="117"/>
      <c r="AJ213" s="26"/>
      <c r="AK213" s="26"/>
      <c r="AL213" s="26">
        <v>2</v>
      </c>
      <c r="AO213" s="26">
        <v>0</v>
      </c>
      <c r="AP213" s="26"/>
      <c r="AQ213" s="26">
        <v>1</v>
      </c>
      <c r="AR213" s="26" t="s">
        <v>139</v>
      </c>
      <c r="AU213" s="121">
        <v>0</v>
      </c>
      <c r="AV213" s="121"/>
      <c r="AY213" s="26" t="s">
        <v>220</v>
      </c>
    </row>
    <row r="214" spans="3:51">
      <c r="C214">
        <v>205</v>
      </c>
      <c r="D214" s="26">
        <v>70</v>
      </c>
      <c r="E214" s="44">
        <v>16.71</v>
      </c>
      <c r="F214" s="142"/>
      <c r="G214" s="142"/>
      <c r="I214" s="46">
        <v>0.59678571428571436</v>
      </c>
      <c r="L214" s="44">
        <v>0</v>
      </c>
      <c r="M214" s="59">
        <v>28</v>
      </c>
      <c r="N214" s="41">
        <v>3</v>
      </c>
      <c r="P214" s="26">
        <v>1</v>
      </c>
      <c r="Q214" s="74" t="s">
        <v>140</v>
      </c>
      <c r="W214" s="69">
        <v>1.1200000000000001</v>
      </c>
      <c r="X214" s="26">
        <v>15</v>
      </c>
      <c r="Y214" s="99">
        <v>2</v>
      </c>
      <c r="Z214" s="97">
        <v>0.35</v>
      </c>
      <c r="AA214" s="26" t="s">
        <v>186</v>
      </c>
      <c r="AB214" s="114"/>
      <c r="AC214" s="26"/>
      <c r="AD214" s="26"/>
      <c r="AE214" s="74" t="s">
        <v>140</v>
      </c>
      <c r="AF214" s="29"/>
      <c r="AG214" s="26"/>
      <c r="AH214" s="26"/>
      <c r="AI214" s="117"/>
      <c r="AJ214" s="26"/>
      <c r="AK214" s="26"/>
      <c r="AL214" s="26">
        <v>2</v>
      </c>
      <c r="AO214" s="26">
        <v>0</v>
      </c>
      <c r="AP214" s="26"/>
      <c r="AQ214" s="26">
        <v>1</v>
      </c>
      <c r="AR214" s="26" t="s">
        <v>140</v>
      </c>
      <c r="AU214" s="121">
        <v>0</v>
      </c>
      <c r="AV214" s="121"/>
      <c r="AY214" s="26" t="s">
        <v>220</v>
      </c>
    </row>
    <row r="215" spans="3:51">
      <c r="C215">
        <v>206</v>
      </c>
      <c r="D215" s="26">
        <v>79</v>
      </c>
      <c r="E215" s="26">
        <v>13.83</v>
      </c>
      <c r="F215" s="71"/>
      <c r="G215" s="71"/>
      <c r="I215" s="46">
        <v>0.3216279069767442</v>
      </c>
      <c r="L215" s="26">
        <v>1</v>
      </c>
      <c r="M215" s="53">
        <v>43</v>
      </c>
      <c r="N215" s="57">
        <v>4</v>
      </c>
      <c r="P215" s="24">
        <v>0</v>
      </c>
      <c r="Q215" s="73" t="s">
        <v>139</v>
      </c>
      <c r="W215" s="69">
        <v>0.98</v>
      </c>
      <c r="X215" s="26"/>
      <c r="Y215" s="98">
        <v>2</v>
      </c>
      <c r="Z215" s="97">
        <v>0.15</v>
      </c>
      <c r="AA215" s="26" t="s">
        <v>191</v>
      </c>
      <c r="AB215" s="114"/>
      <c r="AC215" s="26"/>
      <c r="AD215" s="26"/>
      <c r="AE215" s="73" t="s">
        <v>139</v>
      </c>
      <c r="AF215" s="29"/>
      <c r="AG215" s="26"/>
      <c r="AH215" s="26"/>
      <c r="AI215" s="117"/>
      <c r="AJ215" s="26"/>
      <c r="AK215" s="26"/>
      <c r="AL215" s="26">
        <v>2</v>
      </c>
      <c r="AO215" s="26">
        <v>0</v>
      </c>
      <c r="AP215" s="26"/>
      <c r="AQ215" s="26">
        <v>0</v>
      </c>
      <c r="AR215" s="26"/>
      <c r="AU215" s="121">
        <v>0</v>
      </c>
      <c r="AV215" s="121"/>
      <c r="AY215" s="26">
        <v>2</v>
      </c>
    </row>
    <row r="216" spans="3:51">
      <c r="C216">
        <v>207</v>
      </c>
      <c r="D216" s="26">
        <v>67</v>
      </c>
      <c r="E216" s="45">
        <v>8.56</v>
      </c>
      <c r="F216" s="143"/>
      <c r="G216" s="143"/>
      <c r="I216" s="46">
        <v>0.24457142857142858</v>
      </c>
      <c r="L216" s="44">
        <v>1</v>
      </c>
      <c r="M216" s="59">
        <v>35</v>
      </c>
      <c r="N216" s="41">
        <v>3</v>
      </c>
      <c r="P216" s="24">
        <v>0</v>
      </c>
      <c r="Q216" s="74" t="s">
        <v>140</v>
      </c>
      <c r="W216" s="69">
        <v>0.69</v>
      </c>
      <c r="X216" s="26"/>
      <c r="Y216" s="99">
        <v>1</v>
      </c>
      <c r="Z216" s="97">
        <v>0.5</v>
      </c>
      <c r="AA216" s="26" t="s">
        <v>192</v>
      </c>
      <c r="AB216" s="114"/>
      <c r="AC216" s="26"/>
      <c r="AD216" s="26"/>
      <c r="AE216" s="74" t="s">
        <v>140</v>
      </c>
      <c r="AF216" s="29"/>
      <c r="AG216" s="26"/>
      <c r="AH216" s="26"/>
      <c r="AI216" s="117"/>
      <c r="AJ216" s="26"/>
      <c r="AK216" s="26"/>
      <c r="AL216" s="26">
        <v>1</v>
      </c>
      <c r="AO216" s="26">
        <v>0</v>
      </c>
      <c r="AP216" s="26"/>
      <c r="AQ216" s="26">
        <v>0</v>
      </c>
      <c r="AR216" s="26"/>
      <c r="AU216" s="121">
        <v>0</v>
      </c>
      <c r="AV216" s="121"/>
      <c r="AY216" s="26">
        <v>2</v>
      </c>
    </row>
    <row r="217" spans="3:51">
      <c r="C217">
        <v>208</v>
      </c>
      <c r="D217" s="26">
        <v>66</v>
      </c>
      <c r="E217" s="44">
        <v>4.6900000000000004</v>
      </c>
      <c r="F217" s="142"/>
      <c r="G217" s="142"/>
      <c r="I217" s="46">
        <v>6.2533333333333344E-2</v>
      </c>
      <c r="L217" s="44">
        <v>1</v>
      </c>
      <c r="M217" s="59">
        <v>75</v>
      </c>
      <c r="N217" s="41">
        <v>3</v>
      </c>
      <c r="P217" s="24">
        <v>0</v>
      </c>
      <c r="Q217" s="74" t="s">
        <v>140</v>
      </c>
      <c r="W217" s="69">
        <v>2.96</v>
      </c>
      <c r="X217" s="26"/>
      <c r="Y217" s="99">
        <v>1</v>
      </c>
      <c r="Z217" s="97">
        <v>0.2</v>
      </c>
      <c r="AA217" s="26" t="s">
        <v>193</v>
      </c>
      <c r="AB217" s="114"/>
      <c r="AC217" s="26"/>
      <c r="AD217" s="26"/>
      <c r="AE217" s="74" t="s">
        <v>140</v>
      </c>
      <c r="AF217" s="29"/>
      <c r="AG217" s="26"/>
      <c r="AH217" s="26"/>
      <c r="AI217" s="117"/>
      <c r="AJ217" s="26"/>
      <c r="AK217" s="26"/>
      <c r="AL217" s="26">
        <v>1</v>
      </c>
      <c r="AO217" s="26">
        <v>0</v>
      </c>
      <c r="AP217" s="26"/>
      <c r="AQ217" s="26">
        <v>0</v>
      </c>
      <c r="AR217" s="26"/>
      <c r="AU217" s="121">
        <v>0</v>
      </c>
      <c r="AV217" s="121"/>
      <c r="AY217" s="26">
        <v>2</v>
      </c>
    </row>
    <row r="218" spans="3:51">
      <c r="C218">
        <v>209</v>
      </c>
      <c r="D218" s="26">
        <v>71</v>
      </c>
      <c r="E218" s="26">
        <v>8.1999999999999993</v>
      </c>
      <c r="F218" s="71"/>
      <c r="G218" s="71"/>
      <c r="I218" s="46">
        <v>0.11714285714285713</v>
      </c>
      <c r="L218" s="26">
        <v>1</v>
      </c>
      <c r="M218" s="53">
        <v>70</v>
      </c>
      <c r="N218" s="57">
        <v>5</v>
      </c>
      <c r="P218" s="26">
        <v>1</v>
      </c>
      <c r="Q218" s="73" t="s">
        <v>139</v>
      </c>
      <c r="W218" s="69">
        <v>0.34</v>
      </c>
      <c r="X218" s="26"/>
      <c r="Y218" s="96">
        <v>4</v>
      </c>
      <c r="Z218" s="97">
        <v>0.3</v>
      </c>
      <c r="AA218" s="26" t="s">
        <v>158</v>
      </c>
      <c r="AB218" s="114"/>
      <c r="AC218" s="26"/>
      <c r="AD218" s="26"/>
      <c r="AE218" s="73" t="s">
        <v>139</v>
      </c>
      <c r="AF218" s="29"/>
      <c r="AG218" s="26"/>
      <c r="AH218" s="26"/>
      <c r="AI218" s="117"/>
      <c r="AJ218" s="26"/>
      <c r="AK218" s="26"/>
      <c r="AL218" s="26">
        <v>5</v>
      </c>
      <c r="AO218" s="26">
        <v>0</v>
      </c>
      <c r="AP218" s="26">
        <v>0</v>
      </c>
      <c r="AQ218" s="26">
        <v>1</v>
      </c>
      <c r="AR218" s="26" t="s">
        <v>139</v>
      </c>
      <c r="AU218" s="121">
        <v>0</v>
      </c>
      <c r="AV218" s="121"/>
      <c r="AY218" s="26" t="s">
        <v>220</v>
      </c>
    </row>
    <row r="219" spans="3:51">
      <c r="C219">
        <v>210</v>
      </c>
      <c r="D219" s="26">
        <v>69</v>
      </c>
      <c r="E219" s="26">
        <v>13.5</v>
      </c>
      <c r="F219" s="71"/>
      <c r="G219" s="71"/>
      <c r="I219" s="46">
        <v>0.48214285714285715</v>
      </c>
      <c r="L219" s="26">
        <v>1</v>
      </c>
      <c r="M219" s="53">
        <v>28</v>
      </c>
      <c r="N219" s="57">
        <v>4</v>
      </c>
      <c r="P219" s="24">
        <v>0</v>
      </c>
      <c r="Q219" s="73"/>
      <c r="W219" s="69">
        <v>0</v>
      </c>
      <c r="X219" s="26"/>
      <c r="Y219" s="96">
        <v>2</v>
      </c>
      <c r="Z219" s="97">
        <v>0.5</v>
      </c>
      <c r="AA219" s="26" t="s">
        <v>194</v>
      </c>
      <c r="AB219" s="114"/>
      <c r="AC219" s="26"/>
      <c r="AD219" s="26"/>
      <c r="AE219" s="73"/>
      <c r="AF219" s="29"/>
      <c r="AG219" s="26"/>
      <c r="AH219" s="26"/>
      <c r="AI219" s="117"/>
      <c r="AJ219" s="26"/>
      <c r="AK219" s="26"/>
      <c r="AL219" s="26">
        <v>2</v>
      </c>
      <c r="AO219" s="26">
        <v>1</v>
      </c>
      <c r="AP219" s="26"/>
      <c r="AQ219" s="26">
        <v>0</v>
      </c>
      <c r="AR219" s="26"/>
      <c r="AU219" s="121">
        <v>0</v>
      </c>
      <c r="AV219" s="121"/>
      <c r="AY219" s="26">
        <v>2</v>
      </c>
    </row>
    <row r="220" spans="3:51">
      <c r="C220">
        <v>211</v>
      </c>
      <c r="D220" s="26">
        <v>70</v>
      </c>
      <c r="E220" s="26">
        <v>13.9</v>
      </c>
      <c r="F220" s="71"/>
      <c r="G220" s="71"/>
      <c r="I220" s="46">
        <v>0.28958333333333336</v>
      </c>
      <c r="L220" s="26">
        <v>1</v>
      </c>
      <c r="M220" s="53">
        <v>48</v>
      </c>
      <c r="N220" s="57">
        <v>4</v>
      </c>
      <c r="P220" s="24">
        <v>0</v>
      </c>
      <c r="Q220" s="73" t="s">
        <v>139</v>
      </c>
      <c r="W220" s="69">
        <v>1.8</v>
      </c>
      <c r="X220" s="26"/>
      <c r="Y220" s="96">
        <v>1</v>
      </c>
      <c r="Z220" s="97">
        <v>0.4</v>
      </c>
      <c r="AA220" s="26"/>
      <c r="AB220" s="114"/>
      <c r="AC220" s="26"/>
      <c r="AD220" s="26"/>
      <c r="AE220" s="73" t="s">
        <v>139</v>
      </c>
      <c r="AF220" s="29"/>
      <c r="AG220" s="26"/>
      <c r="AH220" s="26"/>
      <c r="AI220" s="117"/>
      <c r="AJ220" s="26"/>
      <c r="AK220" s="26"/>
      <c r="AL220" s="26">
        <v>2</v>
      </c>
      <c r="AO220" s="26">
        <v>1</v>
      </c>
      <c r="AP220" s="26"/>
      <c r="AQ220" s="26">
        <v>1</v>
      </c>
      <c r="AR220" s="26" t="s">
        <v>140</v>
      </c>
      <c r="AU220" s="121">
        <v>1</v>
      </c>
      <c r="AV220" s="121" t="s">
        <v>140</v>
      </c>
      <c r="AY220" s="26" t="s">
        <v>220</v>
      </c>
    </row>
    <row r="221" spans="3:51">
      <c r="C221">
        <v>212</v>
      </c>
      <c r="D221" s="26">
        <v>76</v>
      </c>
      <c r="E221" s="26">
        <v>7.3</v>
      </c>
      <c r="F221" s="71"/>
      <c r="G221" s="71"/>
      <c r="I221" s="46">
        <v>0.13773584905660377</v>
      </c>
      <c r="L221" s="26">
        <v>0</v>
      </c>
      <c r="M221" s="53">
        <v>53</v>
      </c>
      <c r="N221" s="57">
        <v>3</v>
      </c>
      <c r="P221" s="24">
        <v>0</v>
      </c>
      <c r="Q221" s="73" t="s">
        <v>140</v>
      </c>
      <c r="W221" s="69">
        <v>1.43</v>
      </c>
      <c r="X221" s="26"/>
      <c r="Y221" s="98">
        <v>1</v>
      </c>
      <c r="Z221" s="97">
        <v>0.6</v>
      </c>
      <c r="AA221" s="26" t="s">
        <v>158</v>
      </c>
      <c r="AB221" s="114"/>
      <c r="AC221" s="26"/>
      <c r="AD221" s="26"/>
      <c r="AE221" s="73" t="s">
        <v>140</v>
      </c>
      <c r="AF221" s="29"/>
      <c r="AG221" s="26"/>
      <c r="AH221" s="26"/>
      <c r="AI221" s="117"/>
      <c r="AJ221" s="26"/>
      <c r="AK221" s="26"/>
      <c r="AL221" s="26">
        <v>1</v>
      </c>
      <c r="AO221" s="26">
        <v>0</v>
      </c>
      <c r="AP221" s="26">
        <v>0</v>
      </c>
      <c r="AQ221" s="26">
        <v>0</v>
      </c>
      <c r="AR221" s="26"/>
      <c r="AU221" s="121">
        <v>0</v>
      </c>
      <c r="AV221" s="121"/>
      <c r="AY221" s="26">
        <v>2</v>
      </c>
    </row>
    <row r="222" spans="3:51">
      <c r="C222">
        <v>213</v>
      </c>
      <c r="D222" s="26">
        <v>60</v>
      </c>
      <c r="E222" s="26">
        <v>6.18</v>
      </c>
      <c r="F222" s="71"/>
      <c r="G222" s="71"/>
      <c r="I222" s="46">
        <v>9.3636363636363629E-2</v>
      </c>
      <c r="L222" s="26">
        <v>1</v>
      </c>
      <c r="M222" s="53">
        <v>66</v>
      </c>
      <c r="N222" s="57">
        <v>4</v>
      </c>
      <c r="P222" s="26"/>
      <c r="Q222" s="73" t="s">
        <v>140</v>
      </c>
      <c r="W222" s="69">
        <v>4.2699999999999996</v>
      </c>
      <c r="X222" s="26"/>
      <c r="Y222" s="96">
        <v>2</v>
      </c>
      <c r="Z222" s="97">
        <v>1</v>
      </c>
      <c r="AA222" s="26" t="s">
        <v>169</v>
      </c>
      <c r="AB222" s="114"/>
      <c r="AC222" s="26"/>
      <c r="AD222" s="26"/>
      <c r="AE222" s="73" t="s">
        <v>140</v>
      </c>
      <c r="AF222" s="29"/>
      <c r="AG222" s="26"/>
      <c r="AH222" s="26"/>
      <c r="AI222" s="117"/>
      <c r="AJ222" s="26"/>
      <c r="AK222" s="26"/>
      <c r="AL222" s="26">
        <v>3</v>
      </c>
      <c r="AO222" s="26">
        <v>1</v>
      </c>
      <c r="AP222" s="26"/>
      <c r="AQ222" s="26">
        <v>1</v>
      </c>
      <c r="AR222" s="26" t="s">
        <v>140</v>
      </c>
      <c r="AU222" s="121">
        <v>1</v>
      </c>
      <c r="AV222" s="121" t="s">
        <v>140</v>
      </c>
      <c r="AY222" s="26" t="s">
        <v>221</v>
      </c>
    </row>
    <row r="223" spans="3:51">
      <c r="C223">
        <v>214</v>
      </c>
      <c r="D223" s="26">
        <v>58</v>
      </c>
      <c r="E223" s="26">
        <v>11.3</v>
      </c>
      <c r="F223" s="71"/>
      <c r="G223" s="71"/>
      <c r="I223" s="46">
        <v>0.43461538461538463</v>
      </c>
      <c r="L223" s="26">
        <v>0</v>
      </c>
      <c r="M223" s="53">
        <v>26</v>
      </c>
      <c r="N223" s="57">
        <v>4</v>
      </c>
      <c r="P223" s="26">
        <v>1</v>
      </c>
      <c r="Q223" s="73" t="s">
        <v>139</v>
      </c>
      <c r="W223" s="69">
        <v>2.15</v>
      </c>
      <c r="X223" s="26"/>
      <c r="Y223" s="98">
        <v>1</v>
      </c>
      <c r="Z223" s="97">
        <v>0.45</v>
      </c>
      <c r="AA223" s="26" t="s">
        <v>194</v>
      </c>
      <c r="AB223" s="114"/>
      <c r="AC223" s="26"/>
      <c r="AD223" s="26"/>
      <c r="AE223" s="73" t="s">
        <v>139</v>
      </c>
      <c r="AF223" s="29"/>
      <c r="AG223" s="26"/>
      <c r="AH223" s="26"/>
      <c r="AI223" s="117"/>
      <c r="AJ223" s="26"/>
      <c r="AK223" s="26"/>
      <c r="AL223" s="26">
        <v>1</v>
      </c>
      <c r="AO223" s="26">
        <v>0</v>
      </c>
      <c r="AP223" s="26"/>
      <c r="AQ223" s="26">
        <v>0</v>
      </c>
      <c r="AR223" s="26"/>
      <c r="AU223" s="121">
        <v>0</v>
      </c>
      <c r="AV223" s="121"/>
      <c r="AY223" s="26">
        <v>2</v>
      </c>
    </row>
    <row r="224" spans="3:51">
      <c r="C224">
        <v>215</v>
      </c>
      <c r="D224" s="26">
        <v>77</v>
      </c>
      <c r="E224" s="26">
        <v>20</v>
      </c>
      <c r="F224" s="71"/>
      <c r="G224" s="71"/>
      <c r="I224" s="46">
        <v>0.40816326530612246</v>
      </c>
      <c r="L224" s="26">
        <v>1</v>
      </c>
      <c r="M224" s="53">
        <v>49</v>
      </c>
      <c r="N224" s="57">
        <v>3</v>
      </c>
      <c r="P224" s="24">
        <v>0</v>
      </c>
      <c r="Q224" s="73" t="s">
        <v>144</v>
      </c>
      <c r="W224" s="69">
        <v>2.73</v>
      </c>
      <c r="X224" s="26"/>
      <c r="Y224" s="98">
        <v>2</v>
      </c>
      <c r="Z224" s="97">
        <v>1</v>
      </c>
      <c r="AA224" s="26" t="s">
        <v>189</v>
      </c>
      <c r="AB224" s="114"/>
      <c r="AC224" s="26"/>
      <c r="AD224" s="26"/>
      <c r="AE224" s="73" t="s">
        <v>144</v>
      </c>
      <c r="AF224" s="29"/>
      <c r="AG224" s="26"/>
      <c r="AH224" s="26"/>
      <c r="AI224" s="117"/>
      <c r="AJ224" s="26"/>
      <c r="AK224" s="26"/>
      <c r="AL224" s="26">
        <v>2</v>
      </c>
      <c r="AO224" s="26">
        <v>1</v>
      </c>
      <c r="AP224" s="26">
        <v>0</v>
      </c>
      <c r="AQ224" s="26">
        <v>0</v>
      </c>
      <c r="AR224" s="26"/>
      <c r="AU224" s="121">
        <v>0</v>
      </c>
      <c r="AV224" s="121"/>
      <c r="AY224" s="26">
        <v>2</v>
      </c>
    </row>
    <row r="225" spans="3:51">
      <c r="C225">
        <v>216</v>
      </c>
      <c r="D225" s="26">
        <v>46</v>
      </c>
      <c r="E225" s="45">
        <v>9.5</v>
      </c>
      <c r="F225" s="143"/>
      <c r="G225" s="143"/>
      <c r="I225" s="46">
        <v>0.31666666666666665</v>
      </c>
      <c r="L225" s="26">
        <v>1</v>
      </c>
      <c r="M225" s="53">
        <v>30</v>
      </c>
      <c r="N225" s="57">
        <v>3</v>
      </c>
      <c r="P225" s="24">
        <v>0</v>
      </c>
      <c r="Q225" s="73" t="s">
        <v>139</v>
      </c>
      <c r="W225" s="69">
        <v>5.96</v>
      </c>
      <c r="X225" s="26"/>
      <c r="Y225" s="96">
        <v>1</v>
      </c>
      <c r="Z225" s="97">
        <v>0.5</v>
      </c>
      <c r="AA225" s="26" t="s">
        <v>195</v>
      </c>
      <c r="AB225" s="114"/>
      <c r="AC225" s="26"/>
      <c r="AD225" s="26"/>
      <c r="AE225" s="73" t="s">
        <v>139</v>
      </c>
      <c r="AF225" s="29"/>
      <c r="AG225" s="26"/>
      <c r="AH225" s="26"/>
      <c r="AI225" s="117"/>
      <c r="AJ225" s="26"/>
      <c r="AK225" s="26"/>
      <c r="AL225" s="26">
        <v>2</v>
      </c>
      <c r="AO225" s="26">
        <v>1</v>
      </c>
      <c r="AP225" s="26"/>
      <c r="AQ225" s="26">
        <v>0</v>
      </c>
      <c r="AR225" s="26"/>
      <c r="AU225" s="121">
        <v>0</v>
      </c>
      <c r="AV225" s="121"/>
      <c r="AY225" s="26">
        <v>2</v>
      </c>
    </row>
    <row r="226" spans="3:51">
      <c r="C226">
        <v>217</v>
      </c>
      <c r="D226" s="26">
        <v>66</v>
      </c>
      <c r="E226" s="42">
        <v>5.9</v>
      </c>
      <c r="F226" s="140"/>
      <c r="G226" s="140"/>
      <c r="I226" s="46">
        <v>7.5063613231552168E-2</v>
      </c>
      <c r="L226" s="44">
        <v>1</v>
      </c>
      <c r="M226" s="59">
        <v>78.599999999999994</v>
      </c>
      <c r="N226" s="41">
        <v>4</v>
      </c>
      <c r="P226" s="24">
        <v>0</v>
      </c>
      <c r="Q226" s="74" t="s">
        <v>139</v>
      </c>
      <c r="W226" s="69">
        <v>1.55</v>
      </c>
      <c r="X226" s="26"/>
      <c r="Y226" s="96">
        <v>1</v>
      </c>
      <c r="Z226" s="97">
        <v>1</v>
      </c>
      <c r="AA226" s="26" t="s">
        <v>169</v>
      </c>
      <c r="AB226" s="114"/>
      <c r="AC226" s="26"/>
      <c r="AD226" s="26"/>
      <c r="AE226" s="74" t="s">
        <v>139</v>
      </c>
      <c r="AF226" s="29"/>
      <c r="AG226" s="26"/>
      <c r="AH226" s="26"/>
      <c r="AI226" s="117"/>
      <c r="AJ226" s="26"/>
      <c r="AK226" s="26"/>
      <c r="AL226" s="26">
        <v>1</v>
      </c>
      <c r="AO226" s="26">
        <v>0</v>
      </c>
      <c r="AP226" s="26"/>
      <c r="AQ226" s="26">
        <v>0</v>
      </c>
      <c r="AR226" s="26"/>
      <c r="AU226" s="121">
        <v>0</v>
      </c>
      <c r="AV226" s="121"/>
      <c r="AY226" s="26">
        <v>2</v>
      </c>
    </row>
    <row r="227" spans="3:51">
      <c r="C227">
        <v>218</v>
      </c>
      <c r="D227" s="26">
        <v>54</v>
      </c>
      <c r="E227" s="26">
        <v>72</v>
      </c>
      <c r="F227" s="71"/>
      <c r="G227" s="71"/>
      <c r="I227" s="46">
        <v>1.3584905660377358</v>
      </c>
      <c r="L227" s="26">
        <v>1</v>
      </c>
      <c r="M227" s="53">
        <v>53</v>
      </c>
      <c r="N227" s="57">
        <v>5</v>
      </c>
      <c r="P227" s="26">
        <v>1</v>
      </c>
      <c r="Q227" s="73" t="s">
        <v>139</v>
      </c>
      <c r="W227" s="70">
        <v>0.62</v>
      </c>
      <c r="X227" s="26"/>
      <c r="Y227" s="96"/>
      <c r="Z227" s="26"/>
      <c r="AA227" s="26"/>
      <c r="AB227" s="114"/>
      <c r="AC227" s="26"/>
      <c r="AD227" s="26"/>
      <c r="AE227" s="73" t="s">
        <v>139</v>
      </c>
      <c r="AF227" s="29">
        <v>1</v>
      </c>
      <c r="AG227" s="97">
        <v>0.75</v>
      </c>
      <c r="AH227" s="26" t="s">
        <v>158</v>
      </c>
      <c r="AI227" s="117">
        <v>1</v>
      </c>
      <c r="AJ227" s="97">
        <v>0.72</v>
      </c>
      <c r="AK227" s="26" t="s">
        <v>158</v>
      </c>
      <c r="AL227" s="26">
        <v>2</v>
      </c>
      <c r="AO227" s="26">
        <v>1</v>
      </c>
      <c r="AP227" s="26">
        <v>1</v>
      </c>
      <c r="AQ227" s="26">
        <v>1</v>
      </c>
      <c r="AR227" s="26" t="s">
        <v>217</v>
      </c>
      <c r="AU227" s="121">
        <v>1</v>
      </c>
      <c r="AV227" s="121"/>
      <c r="AY227" s="26" t="s">
        <v>220</v>
      </c>
    </row>
    <row r="228" spans="3:51">
      <c r="C228">
        <v>219</v>
      </c>
      <c r="D228" s="26">
        <v>67</v>
      </c>
      <c r="E228" s="42">
        <v>3.85</v>
      </c>
      <c r="F228" s="140"/>
      <c r="G228" s="140"/>
      <c r="I228" s="46">
        <v>7.4038461538461539E-2</v>
      </c>
      <c r="L228" s="44">
        <v>0</v>
      </c>
      <c r="M228" s="59">
        <v>52</v>
      </c>
      <c r="N228" s="41">
        <v>5</v>
      </c>
      <c r="P228" s="26">
        <v>1</v>
      </c>
      <c r="Q228" s="74" t="s">
        <v>139</v>
      </c>
      <c r="W228" s="69">
        <v>2.27</v>
      </c>
      <c r="X228" s="26"/>
      <c r="Y228" s="96">
        <v>4</v>
      </c>
      <c r="Z228" s="97">
        <v>0.61</v>
      </c>
      <c r="AA228" s="26" t="s">
        <v>163</v>
      </c>
      <c r="AB228" s="114"/>
      <c r="AC228" s="26"/>
      <c r="AD228" s="26"/>
      <c r="AE228" s="74" t="s">
        <v>139</v>
      </c>
      <c r="AF228" s="29">
        <v>0</v>
      </c>
      <c r="AG228" s="97">
        <v>0</v>
      </c>
      <c r="AH228" s="26" t="s">
        <v>204</v>
      </c>
      <c r="AI228" s="117">
        <v>0</v>
      </c>
      <c r="AJ228" s="97">
        <v>0</v>
      </c>
      <c r="AK228" s="26" t="s">
        <v>214</v>
      </c>
      <c r="AL228" s="26">
        <v>4</v>
      </c>
      <c r="AO228" s="26">
        <v>0</v>
      </c>
      <c r="AP228" s="26">
        <v>0</v>
      </c>
      <c r="AQ228" s="26">
        <v>0</v>
      </c>
      <c r="AR228" s="26"/>
      <c r="AU228" s="121">
        <v>0</v>
      </c>
      <c r="AV228" s="121"/>
      <c r="AY228" s="26">
        <v>2</v>
      </c>
    </row>
    <row r="229" spans="3:51">
      <c r="C229">
        <v>220</v>
      </c>
      <c r="D229" s="26">
        <v>70</v>
      </c>
      <c r="E229" s="44">
        <v>6.2770000000000001</v>
      </c>
      <c r="F229" s="142"/>
      <c r="G229" s="142"/>
      <c r="I229" s="46">
        <v>0.11012280701754386</v>
      </c>
      <c r="L229" s="44">
        <v>1</v>
      </c>
      <c r="M229" s="59">
        <v>57</v>
      </c>
      <c r="N229" s="41">
        <v>4</v>
      </c>
      <c r="P229" s="24">
        <v>0</v>
      </c>
      <c r="Q229" s="74" t="s">
        <v>139</v>
      </c>
      <c r="W229" s="69">
        <v>0.86</v>
      </c>
      <c r="X229" s="26">
        <v>9</v>
      </c>
      <c r="Y229" s="100"/>
      <c r="Z229" s="26"/>
      <c r="AA229" s="26"/>
      <c r="AB229" s="114"/>
      <c r="AC229" s="26"/>
      <c r="AD229" s="26"/>
      <c r="AE229" s="74" t="s">
        <v>139</v>
      </c>
      <c r="AF229" s="29">
        <v>1</v>
      </c>
      <c r="AG229" s="97">
        <v>0.5</v>
      </c>
      <c r="AH229" s="26" t="s">
        <v>158</v>
      </c>
      <c r="AI229" s="117">
        <v>2</v>
      </c>
      <c r="AJ229" s="97">
        <v>0.25</v>
      </c>
      <c r="AK229" s="26" t="s">
        <v>158</v>
      </c>
      <c r="AL229" s="26">
        <v>2</v>
      </c>
      <c r="AO229" s="26">
        <v>1</v>
      </c>
      <c r="AP229" s="26">
        <v>0</v>
      </c>
      <c r="AQ229" s="26">
        <v>1</v>
      </c>
      <c r="AR229" s="26" t="s">
        <v>140</v>
      </c>
      <c r="AU229" s="121">
        <v>0</v>
      </c>
      <c r="AV229" s="121"/>
      <c r="AY229" s="26" t="s">
        <v>220</v>
      </c>
    </row>
    <row r="230" spans="3:51">
      <c r="C230">
        <v>221</v>
      </c>
      <c r="D230" s="26">
        <v>79</v>
      </c>
      <c r="E230" s="26">
        <v>4.46</v>
      </c>
      <c r="F230" s="71"/>
      <c r="G230" s="71"/>
      <c r="I230" s="46">
        <v>8.745098039215686E-2</v>
      </c>
      <c r="L230" s="26">
        <v>0</v>
      </c>
      <c r="M230" s="53">
        <v>51</v>
      </c>
      <c r="N230" s="57">
        <v>3</v>
      </c>
      <c r="P230" s="24">
        <v>0</v>
      </c>
      <c r="Q230" s="73" t="s">
        <v>139</v>
      </c>
      <c r="W230" s="69">
        <v>2.25</v>
      </c>
      <c r="X230" s="26"/>
      <c r="Y230" s="96">
        <v>1</v>
      </c>
      <c r="Z230" s="97">
        <v>0.9</v>
      </c>
      <c r="AA230" s="26" t="s">
        <v>196</v>
      </c>
      <c r="AB230" s="114"/>
      <c r="AC230" s="26"/>
      <c r="AD230" s="26"/>
      <c r="AE230" s="73" t="s">
        <v>139</v>
      </c>
      <c r="AF230" s="29"/>
      <c r="AG230" s="26"/>
      <c r="AH230" s="26" t="s">
        <v>212</v>
      </c>
      <c r="AI230" s="117"/>
      <c r="AJ230" s="26"/>
      <c r="AK230" s="26" t="s">
        <v>216</v>
      </c>
      <c r="AL230" s="26">
        <v>2</v>
      </c>
      <c r="AO230" s="26">
        <v>0</v>
      </c>
      <c r="AP230" s="26"/>
      <c r="AQ230" s="26">
        <v>1</v>
      </c>
      <c r="AR230" s="26" t="s">
        <v>140</v>
      </c>
      <c r="AU230" s="121">
        <v>0</v>
      </c>
      <c r="AV230" s="121"/>
      <c r="AY230" s="26" t="s">
        <v>220</v>
      </c>
    </row>
    <row r="231" spans="3:51">
      <c r="C231">
        <v>222</v>
      </c>
      <c r="D231" s="26">
        <v>74</v>
      </c>
      <c r="E231" s="26">
        <v>3.23</v>
      </c>
      <c r="F231" s="71"/>
      <c r="G231" s="71"/>
      <c r="I231" s="46">
        <v>8.0750000000000002E-2</v>
      </c>
      <c r="L231" s="26">
        <v>1</v>
      </c>
      <c r="M231" s="53">
        <v>40</v>
      </c>
      <c r="N231" s="57">
        <v>5</v>
      </c>
      <c r="P231" s="24">
        <v>0</v>
      </c>
      <c r="Q231" s="73"/>
      <c r="W231" s="69">
        <v>0</v>
      </c>
      <c r="X231" s="26"/>
      <c r="Y231" s="98"/>
      <c r="Z231" s="26"/>
      <c r="AA231" s="26"/>
      <c r="AB231" s="114"/>
      <c r="AC231" s="26"/>
      <c r="AD231" s="26"/>
      <c r="AE231" s="73"/>
      <c r="AF231" s="29">
        <v>3</v>
      </c>
      <c r="AG231" s="97">
        <v>0.15</v>
      </c>
      <c r="AH231" s="26" t="s">
        <v>165</v>
      </c>
      <c r="AI231" s="117">
        <v>3</v>
      </c>
      <c r="AJ231" s="97">
        <v>0.8</v>
      </c>
      <c r="AK231" s="26" t="s">
        <v>169</v>
      </c>
      <c r="AL231" s="26">
        <v>2</v>
      </c>
      <c r="AO231" s="26">
        <v>0</v>
      </c>
      <c r="AP231" s="26">
        <v>0</v>
      </c>
      <c r="AQ231" s="26">
        <v>0</v>
      </c>
      <c r="AR231" s="26"/>
      <c r="AU231" s="121">
        <v>0</v>
      </c>
      <c r="AV231" s="121"/>
      <c r="AY231" s="26">
        <v>2</v>
      </c>
    </row>
    <row r="232" spans="3:51">
      <c r="C232">
        <v>223</v>
      </c>
      <c r="D232" s="26">
        <v>63</v>
      </c>
      <c r="E232" s="42">
        <v>4.0640000000000001</v>
      </c>
      <c r="F232" s="140"/>
      <c r="G232" s="140"/>
      <c r="I232" s="46">
        <v>6.773333333333334E-2</v>
      </c>
      <c r="L232" s="44">
        <v>1</v>
      </c>
      <c r="M232" s="59">
        <v>60</v>
      </c>
      <c r="N232" s="41">
        <v>4</v>
      </c>
      <c r="P232" s="24">
        <v>0</v>
      </c>
      <c r="Q232" s="74" t="s">
        <v>139</v>
      </c>
      <c r="W232" s="69">
        <v>0</v>
      </c>
      <c r="X232" s="26">
        <v>9</v>
      </c>
      <c r="Y232" s="98"/>
      <c r="Z232" s="26"/>
      <c r="AA232" s="26"/>
      <c r="AB232" s="114"/>
      <c r="AC232" s="26"/>
      <c r="AD232" s="26"/>
      <c r="AE232" s="74" t="s">
        <v>139</v>
      </c>
      <c r="AF232" s="29"/>
      <c r="AG232" s="26"/>
      <c r="AH232" s="26"/>
      <c r="AI232" s="117">
        <v>2</v>
      </c>
      <c r="AJ232" s="97">
        <v>0.3</v>
      </c>
      <c r="AK232" s="26"/>
      <c r="AL232" s="26">
        <v>2</v>
      </c>
      <c r="AO232" s="26">
        <v>0</v>
      </c>
      <c r="AP232" s="26">
        <v>0</v>
      </c>
      <c r="AQ232" s="26">
        <v>0</v>
      </c>
      <c r="AR232" s="26"/>
      <c r="AU232" s="121">
        <v>0</v>
      </c>
      <c r="AV232" s="121"/>
      <c r="AY232" s="26">
        <v>2</v>
      </c>
    </row>
    <row r="233" spans="3:51">
      <c r="C233">
        <v>224</v>
      </c>
      <c r="D233" s="26">
        <v>73</v>
      </c>
      <c r="E233" s="45">
        <v>4.1500000000000004</v>
      </c>
      <c r="F233" s="143"/>
      <c r="G233" s="143"/>
      <c r="I233" s="46">
        <v>0.11216216216216217</v>
      </c>
      <c r="L233" s="26">
        <v>1</v>
      </c>
      <c r="M233" s="53">
        <v>37</v>
      </c>
      <c r="N233" s="57">
        <v>5</v>
      </c>
      <c r="P233" s="24">
        <v>0</v>
      </c>
      <c r="Q233" s="73"/>
      <c r="W233" s="69">
        <v>0</v>
      </c>
      <c r="X233" s="26"/>
      <c r="Y233" s="96"/>
      <c r="Z233" s="26"/>
      <c r="AA233" s="26"/>
      <c r="AB233" s="114"/>
      <c r="AC233" s="26"/>
      <c r="AD233" s="26"/>
      <c r="AE233" s="73"/>
      <c r="AF233" s="29">
        <v>0</v>
      </c>
      <c r="AG233" s="97">
        <v>0</v>
      </c>
      <c r="AH233" s="26"/>
      <c r="AI233" s="117">
        <v>2</v>
      </c>
      <c r="AJ233" s="97">
        <v>0.7</v>
      </c>
      <c r="AK233" s="26"/>
      <c r="AL233" s="26">
        <v>2</v>
      </c>
      <c r="AO233" s="26">
        <v>0</v>
      </c>
      <c r="AP233" s="26"/>
      <c r="AQ233" s="26">
        <v>1</v>
      </c>
      <c r="AR233" s="26" t="s">
        <v>139</v>
      </c>
      <c r="AU233" s="121">
        <v>0</v>
      </c>
      <c r="AV233" s="121"/>
      <c r="AY233" s="26" t="s">
        <v>220</v>
      </c>
    </row>
    <row r="234" spans="3:51">
      <c r="C234">
        <v>225</v>
      </c>
      <c r="D234" s="26">
        <v>74</v>
      </c>
      <c r="E234" s="42">
        <v>4.9000000000000004</v>
      </c>
      <c r="F234" s="140"/>
      <c r="G234" s="140"/>
      <c r="I234" s="46">
        <v>5.6321839080459776E-2</v>
      </c>
      <c r="L234" s="44">
        <v>1</v>
      </c>
      <c r="M234" s="59">
        <v>87</v>
      </c>
      <c r="N234" s="41">
        <v>4</v>
      </c>
      <c r="P234" s="24">
        <v>0</v>
      </c>
      <c r="Q234" s="74" t="s">
        <v>139</v>
      </c>
      <c r="W234" s="69">
        <v>0</v>
      </c>
      <c r="X234" s="26"/>
      <c r="Y234" s="100">
        <v>4</v>
      </c>
      <c r="Z234" s="26"/>
      <c r="AA234" s="26" t="s">
        <v>183</v>
      </c>
      <c r="AB234" s="114"/>
      <c r="AC234" s="26"/>
      <c r="AD234" s="26"/>
      <c r="AE234" s="74" t="s">
        <v>139</v>
      </c>
      <c r="AF234" s="29"/>
      <c r="AG234" s="26"/>
      <c r="AH234" s="26"/>
      <c r="AI234" s="117"/>
      <c r="AJ234" s="26"/>
      <c r="AK234" s="26"/>
      <c r="AL234" s="26">
        <v>4</v>
      </c>
      <c r="AO234" s="26">
        <v>0</v>
      </c>
      <c r="AP234" s="26">
        <v>0</v>
      </c>
      <c r="AQ234" s="26">
        <v>0</v>
      </c>
      <c r="AR234" s="26"/>
      <c r="AU234" s="121">
        <v>0</v>
      </c>
      <c r="AV234" s="121"/>
      <c r="AY234" s="26">
        <v>2</v>
      </c>
    </row>
    <row r="235" spans="3:51">
      <c r="C235">
        <v>226</v>
      </c>
      <c r="D235" s="26">
        <v>71</v>
      </c>
      <c r="E235" s="44">
        <v>4.4000000000000004</v>
      </c>
      <c r="F235" s="142"/>
      <c r="G235" s="142"/>
      <c r="I235" s="46">
        <v>7.7192982456140355E-2</v>
      </c>
      <c r="L235" s="44">
        <v>1</v>
      </c>
      <c r="M235" s="59">
        <v>57</v>
      </c>
      <c r="N235" s="41">
        <v>4</v>
      </c>
      <c r="P235" s="24">
        <v>0</v>
      </c>
      <c r="Q235" s="74" t="s">
        <v>139</v>
      </c>
      <c r="W235" s="69">
        <v>0</v>
      </c>
      <c r="X235" s="26">
        <v>7</v>
      </c>
      <c r="Y235" s="99">
        <v>1</v>
      </c>
      <c r="Z235" s="97">
        <v>0.1</v>
      </c>
      <c r="AA235" s="26"/>
      <c r="AB235" s="114"/>
      <c r="AC235" s="26"/>
      <c r="AD235" s="26"/>
      <c r="AE235" s="74" t="s">
        <v>139</v>
      </c>
      <c r="AF235" s="29"/>
      <c r="AG235" s="26"/>
      <c r="AH235" s="26"/>
      <c r="AI235" s="117"/>
      <c r="AJ235" s="26"/>
      <c r="AK235" s="26"/>
      <c r="AL235" s="26">
        <v>1</v>
      </c>
      <c r="AO235" s="26">
        <v>0</v>
      </c>
      <c r="AP235" s="26"/>
      <c r="AQ235" s="26">
        <v>0</v>
      </c>
      <c r="AR235" s="26"/>
      <c r="AU235" s="121">
        <v>0</v>
      </c>
      <c r="AV235" s="121"/>
      <c r="AY235" s="26">
        <v>2</v>
      </c>
    </row>
    <row r="236" spans="3:51">
      <c r="C236">
        <v>227</v>
      </c>
      <c r="D236" s="26">
        <v>70</v>
      </c>
      <c r="E236" s="44">
        <v>18.600000000000001</v>
      </c>
      <c r="F236" s="142"/>
      <c r="G236" s="142"/>
      <c r="I236" s="46">
        <v>0.53602305475504319</v>
      </c>
      <c r="L236" s="44">
        <v>1</v>
      </c>
      <c r="M236" s="59">
        <v>34.700000000000003</v>
      </c>
      <c r="N236" s="41">
        <v>5</v>
      </c>
      <c r="P236" s="24">
        <v>0</v>
      </c>
      <c r="Q236" s="74" t="s">
        <v>139</v>
      </c>
      <c r="W236" s="69">
        <v>1.42</v>
      </c>
      <c r="X236" s="26">
        <v>21</v>
      </c>
      <c r="Y236" s="99">
        <v>1</v>
      </c>
      <c r="Z236" s="97">
        <v>1</v>
      </c>
      <c r="AA236" s="26" t="s">
        <v>197</v>
      </c>
      <c r="AB236" s="114"/>
      <c r="AC236" s="26"/>
      <c r="AD236" s="26"/>
      <c r="AE236" s="74" t="s">
        <v>139</v>
      </c>
      <c r="AF236" s="29"/>
      <c r="AG236" s="26"/>
      <c r="AH236" s="26"/>
      <c r="AI236" s="117"/>
      <c r="AJ236" s="26"/>
      <c r="AK236" s="26"/>
      <c r="AL236" s="26">
        <v>5</v>
      </c>
      <c r="AO236" s="26">
        <v>1</v>
      </c>
      <c r="AP236" s="26">
        <v>0</v>
      </c>
      <c r="AQ236" s="26">
        <v>1</v>
      </c>
      <c r="AR236" s="26" t="s">
        <v>140</v>
      </c>
      <c r="AU236" s="121">
        <v>0</v>
      </c>
      <c r="AV236" s="121"/>
      <c r="AY236" s="26" t="s">
        <v>220</v>
      </c>
    </row>
    <row r="237" spans="3:51">
      <c r="C237">
        <v>228</v>
      </c>
      <c r="D237" s="26">
        <v>74</v>
      </c>
      <c r="E237" s="44">
        <v>5.08</v>
      </c>
      <c r="F237" s="142"/>
      <c r="G237" s="142"/>
      <c r="I237" s="46">
        <v>0.19538461538461538</v>
      </c>
      <c r="L237" s="44">
        <v>0</v>
      </c>
      <c r="M237" s="59">
        <v>26</v>
      </c>
      <c r="N237" s="41">
        <v>4</v>
      </c>
      <c r="P237" s="24">
        <v>0</v>
      </c>
      <c r="Q237" s="74" t="s">
        <v>140</v>
      </c>
      <c r="W237" s="69">
        <v>0</v>
      </c>
      <c r="X237" s="26">
        <v>10</v>
      </c>
      <c r="Y237" s="100">
        <v>1</v>
      </c>
      <c r="Z237" s="97">
        <v>0.36</v>
      </c>
      <c r="AA237" s="26"/>
      <c r="AB237" s="114"/>
      <c r="AC237" s="26"/>
      <c r="AD237" s="26"/>
      <c r="AE237" s="74" t="s">
        <v>140</v>
      </c>
      <c r="AF237" s="29"/>
      <c r="AG237" s="26"/>
      <c r="AH237" s="26"/>
      <c r="AI237" s="117"/>
      <c r="AJ237" s="26"/>
      <c r="AK237" s="26"/>
      <c r="AL237" s="26">
        <v>1</v>
      </c>
      <c r="AO237" s="26">
        <v>0</v>
      </c>
      <c r="AP237" s="26"/>
      <c r="AQ237" s="26">
        <v>0</v>
      </c>
      <c r="AR237" s="26"/>
      <c r="AU237" s="121">
        <v>0</v>
      </c>
      <c r="AV237" s="121"/>
      <c r="AY237" s="26">
        <v>2</v>
      </c>
    </row>
    <row r="238" spans="3:51">
      <c r="C238">
        <v>229</v>
      </c>
      <c r="D238" s="26">
        <v>62</v>
      </c>
      <c r="E238" s="44">
        <v>3.8</v>
      </c>
      <c r="F238" s="142"/>
      <c r="G238" s="142"/>
      <c r="I238" s="46">
        <v>9.2682926829268292E-2</v>
      </c>
      <c r="L238" s="44">
        <v>1</v>
      </c>
      <c r="M238" s="59">
        <v>41</v>
      </c>
      <c r="N238" s="41">
        <v>5</v>
      </c>
      <c r="P238" s="26">
        <v>1</v>
      </c>
      <c r="Q238" s="74"/>
      <c r="W238" s="69">
        <v>0</v>
      </c>
      <c r="X238" s="26">
        <v>23</v>
      </c>
      <c r="Y238" s="100">
        <v>3</v>
      </c>
      <c r="Z238" s="97">
        <v>0.6</v>
      </c>
      <c r="AA238" s="26"/>
      <c r="AB238" s="114"/>
      <c r="AC238" s="26"/>
      <c r="AD238" s="26"/>
      <c r="AE238" s="74"/>
      <c r="AF238" s="29"/>
      <c r="AG238" s="26"/>
      <c r="AH238" s="26"/>
      <c r="AI238" s="117"/>
      <c r="AJ238" s="26"/>
      <c r="AK238" s="26"/>
      <c r="AL238" s="26">
        <v>2</v>
      </c>
      <c r="AO238" s="26">
        <v>0</v>
      </c>
      <c r="AP238" s="26"/>
      <c r="AQ238" s="26">
        <v>1</v>
      </c>
      <c r="AR238" s="26" t="s">
        <v>139</v>
      </c>
      <c r="AU238" s="121">
        <v>0</v>
      </c>
      <c r="AV238" s="121"/>
      <c r="AY238" s="26" t="s">
        <v>220</v>
      </c>
    </row>
    <row r="239" spans="3:51">
      <c r="C239">
        <v>230</v>
      </c>
      <c r="D239" s="26">
        <v>66</v>
      </c>
      <c r="E239" s="44">
        <v>3.72</v>
      </c>
      <c r="F239" s="142"/>
      <c r="G239" s="142"/>
      <c r="I239" s="46">
        <v>0.16173913043478261</v>
      </c>
      <c r="L239" s="44">
        <v>0</v>
      </c>
      <c r="M239" s="59">
        <v>23</v>
      </c>
      <c r="N239" s="41">
        <v>4</v>
      </c>
      <c r="P239" s="24">
        <v>0</v>
      </c>
      <c r="Q239" s="74" t="s">
        <v>140</v>
      </c>
      <c r="W239" s="69">
        <v>0</v>
      </c>
      <c r="X239" s="26"/>
      <c r="Y239" s="99">
        <v>1</v>
      </c>
      <c r="Z239" s="26"/>
      <c r="AA239" s="26"/>
      <c r="AB239" s="114"/>
      <c r="AC239" s="26"/>
      <c r="AD239" s="26"/>
      <c r="AE239" s="74" t="s">
        <v>140</v>
      </c>
      <c r="AF239" s="29"/>
      <c r="AG239" s="26"/>
      <c r="AH239" s="26"/>
      <c r="AI239" s="117"/>
      <c r="AJ239" s="26"/>
      <c r="AK239" s="26"/>
      <c r="AL239" s="26">
        <v>2</v>
      </c>
      <c r="AO239" s="26">
        <v>0</v>
      </c>
      <c r="AP239" s="26"/>
      <c r="AQ239" s="26">
        <v>0</v>
      </c>
      <c r="AR239" s="26"/>
      <c r="AU239" s="121">
        <v>0</v>
      </c>
      <c r="AV239" s="121"/>
      <c r="AY239" s="26">
        <v>2</v>
      </c>
    </row>
    <row r="240" spans="3:51">
      <c r="C240">
        <v>231</v>
      </c>
      <c r="D240" s="26">
        <v>75</v>
      </c>
      <c r="E240" s="44">
        <v>5.2</v>
      </c>
      <c r="F240" s="142"/>
      <c r="G240" s="142"/>
      <c r="I240" s="46">
        <v>9.8113207547169817E-2</v>
      </c>
      <c r="L240" s="44">
        <v>1</v>
      </c>
      <c r="M240" s="59">
        <v>53</v>
      </c>
      <c r="N240" s="41">
        <v>5</v>
      </c>
      <c r="P240" s="24">
        <v>0</v>
      </c>
      <c r="Q240" s="74" t="s">
        <v>139</v>
      </c>
      <c r="W240" s="69">
        <v>0.36</v>
      </c>
      <c r="X240" s="26">
        <v>7</v>
      </c>
      <c r="Y240" s="100">
        <v>1</v>
      </c>
      <c r="Z240" s="97">
        <v>0.1</v>
      </c>
      <c r="AA240" s="26" t="s">
        <v>198</v>
      </c>
      <c r="AB240" s="114"/>
      <c r="AC240" s="26"/>
      <c r="AD240" s="26"/>
      <c r="AE240" s="74" t="s">
        <v>139</v>
      </c>
      <c r="AF240" s="29"/>
      <c r="AG240" s="26"/>
      <c r="AH240" s="26"/>
      <c r="AI240" s="117"/>
      <c r="AJ240" s="26"/>
      <c r="AK240" s="26"/>
      <c r="AL240" s="26">
        <v>2</v>
      </c>
      <c r="AO240" s="26">
        <v>0</v>
      </c>
      <c r="AP240" s="26"/>
      <c r="AQ240" s="26">
        <v>0</v>
      </c>
      <c r="AR240" s="26"/>
      <c r="AU240" s="121">
        <v>0</v>
      </c>
      <c r="AV240" s="121"/>
      <c r="AY240" s="26">
        <v>2</v>
      </c>
    </row>
    <row r="241" spans="3:51">
      <c r="C241">
        <v>232</v>
      </c>
      <c r="D241" s="26">
        <v>64</v>
      </c>
      <c r="E241" s="44">
        <v>6.84</v>
      </c>
      <c r="F241" s="142"/>
      <c r="G241" s="142"/>
      <c r="I241" s="46">
        <v>0.24428571428571427</v>
      </c>
      <c r="L241" s="44">
        <v>0</v>
      </c>
      <c r="M241" s="59">
        <v>28</v>
      </c>
      <c r="N241" s="41">
        <v>2</v>
      </c>
      <c r="P241" s="24">
        <v>0</v>
      </c>
      <c r="Q241" s="74"/>
      <c r="W241" s="69">
        <v>0</v>
      </c>
      <c r="X241" s="26"/>
      <c r="Y241" s="100">
        <v>3</v>
      </c>
      <c r="Z241" s="26"/>
      <c r="AA241" s="26" t="s">
        <v>199</v>
      </c>
      <c r="AB241" s="114"/>
      <c r="AC241" s="26"/>
      <c r="AD241" s="26"/>
      <c r="AE241" s="74"/>
      <c r="AF241" s="29"/>
      <c r="AG241" s="26"/>
      <c r="AH241" s="26"/>
      <c r="AI241" s="117"/>
      <c r="AJ241" s="26"/>
      <c r="AK241" s="26"/>
      <c r="AL241" s="26">
        <v>2</v>
      </c>
      <c r="AO241" s="26">
        <v>1</v>
      </c>
      <c r="AP241" s="26">
        <v>0</v>
      </c>
      <c r="AQ241" s="26">
        <v>1</v>
      </c>
      <c r="AR241" s="26"/>
      <c r="AU241" s="121">
        <v>0</v>
      </c>
      <c r="AV241" s="121"/>
      <c r="AY241" s="26" t="s">
        <v>220</v>
      </c>
    </row>
    <row r="242" spans="3:51">
      <c r="C242">
        <v>233</v>
      </c>
      <c r="D242" s="26">
        <v>74</v>
      </c>
      <c r="E242" s="44">
        <v>6</v>
      </c>
      <c r="F242" s="142"/>
      <c r="G242" s="142"/>
      <c r="I242" s="46">
        <v>0.125</v>
      </c>
      <c r="L242" s="44">
        <v>0</v>
      </c>
      <c r="M242" s="59">
        <v>48</v>
      </c>
      <c r="N242" s="41">
        <v>4</v>
      </c>
      <c r="P242" s="24">
        <v>0</v>
      </c>
      <c r="Q242" s="74" t="s">
        <v>140</v>
      </c>
      <c r="W242" s="69">
        <v>2.91</v>
      </c>
      <c r="X242" s="26"/>
      <c r="Y242" s="99">
        <v>1</v>
      </c>
      <c r="Z242" s="97">
        <v>0.3</v>
      </c>
      <c r="AA242" s="26" t="s">
        <v>197</v>
      </c>
      <c r="AB242" s="114"/>
      <c r="AC242" s="26"/>
      <c r="AD242" s="26"/>
      <c r="AE242" s="74" t="s">
        <v>140</v>
      </c>
      <c r="AF242" s="29"/>
      <c r="AG242" s="26"/>
      <c r="AH242" s="26"/>
      <c r="AI242" s="117"/>
      <c r="AJ242" s="26"/>
      <c r="AK242" s="26"/>
      <c r="AL242" s="26">
        <v>2</v>
      </c>
      <c r="AO242" s="26">
        <v>0</v>
      </c>
      <c r="AP242" s="26"/>
      <c r="AQ242" s="26">
        <v>0</v>
      </c>
      <c r="AR242" s="26"/>
      <c r="AU242" s="121">
        <v>0</v>
      </c>
      <c r="AV242" s="121"/>
      <c r="AY242" s="26">
        <v>2</v>
      </c>
    </row>
    <row r="243" spans="3:51">
      <c r="C243">
        <v>234</v>
      </c>
      <c r="D243" s="26">
        <v>68</v>
      </c>
      <c r="E243" s="44">
        <v>4.16</v>
      </c>
      <c r="F243" s="142"/>
      <c r="G243" s="142"/>
      <c r="I243" s="46">
        <v>0.13866666666666666</v>
      </c>
      <c r="L243" s="44">
        <v>0</v>
      </c>
      <c r="M243" s="59">
        <v>30</v>
      </c>
      <c r="N243" s="41">
        <v>3</v>
      </c>
      <c r="P243" s="24">
        <v>0</v>
      </c>
      <c r="Q243" s="74"/>
      <c r="W243" s="69">
        <v>0</v>
      </c>
      <c r="X243" s="26">
        <v>17</v>
      </c>
      <c r="Y243" s="100">
        <v>1</v>
      </c>
      <c r="Z243" s="97">
        <v>0.4</v>
      </c>
      <c r="AA243" s="26"/>
      <c r="AB243" s="114"/>
      <c r="AC243" s="26"/>
      <c r="AD243" s="26"/>
      <c r="AE243" s="74"/>
      <c r="AF243" s="29"/>
      <c r="AG243" s="26"/>
      <c r="AH243" s="26"/>
      <c r="AI243" s="117"/>
      <c r="AJ243" s="26"/>
      <c r="AK243" s="26"/>
      <c r="AL243" s="26">
        <v>1</v>
      </c>
      <c r="AO243" s="26">
        <v>0</v>
      </c>
      <c r="AP243" s="26"/>
      <c r="AQ243" s="26">
        <v>0</v>
      </c>
      <c r="AR243" s="26"/>
      <c r="AU243" s="121">
        <v>0</v>
      </c>
      <c r="AV243" s="121"/>
      <c r="AY243" s="26">
        <v>2</v>
      </c>
    </row>
    <row r="244" spans="3:51">
      <c r="C244">
        <v>235</v>
      </c>
      <c r="D244" s="26">
        <v>76</v>
      </c>
      <c r="E244" s="44">
        <v>8.4</v>
      </c>
      <c r="F244" s="142"/>
      <c r="G244" s="142"/>
      <c r="I244" s="46">
        <v>0.17684210526315791</v>
      </c>
      <c r="L244" s="44">
        <v>1</v>
      </c>
      <c r="M244" s="59">
        <v>47.5</v>
      </c>
      <c r="N244" s="41">
        <v>4</v>
      </c>
      <c r="P244" s="24">
        <v>0</v>
      </c>
      <c r="Q244" s="74"/>
      <c r="W244" s="69">
        <v>0</v>
      </c>
      <c r="X244" s="26"/>
      <c r="Y244" s="99">
        <v>3</v>
      </c>
      <c r="Z244" s="26"/>
      <c r="AA244" s="26"/>
      <c r="AB244" s="114"/>
      <c r="AC244" s="26"/>
      <c r="AD244" s="26"/>
      <c r="AE244" s="74"/>
      <c r="AF244" s="29"/>
      <c r="AG244" s="26"/>
      <c r="AH244" s="26"/>
      <c r="AI244" s="117"/>
      <c r="AJ244" s="26"/>
      <c r="AK244" s="26"/>
      <c r="AL244" s="26">
        <v>2</v>
      </c>
      <c r="AO244" s="26">
        <v>0</v>
      </c>
      <c r="AP244" s="26"/>
      <c r="AQ244" s="26">
        <v>1</v>
      </c>
      <c r="AR244" s="26" t="s">
        <v>217</v>
      </c>
      <c r="AU244" s="121">
        <v>1</v>
      </c>
      <c r="AV244" s="121" t="s">
        <v>140</v>
      </c>
      <c r="AY244" s="26" t="s">
        <v>221</v>
      </c>
    </row>
    <row r="245" spans="3:51">
      <c r="C245">
        <v>236</v>
      </c>
      <c r="D245" s="26">
        <v>62</v>
      </c>
      <c r="E245" s="44">
        <v>13.8</v>
      </c>
      <c r="F245" s="142"/>
      <c r="G245" s="142"/>
      <c r="I245" s="46">
        <v>0.21904761904761905</v>
      </c>
      <c r="L245" s="44">
        <v>1</v>
      </c>
      <c r="M245" s="59">
        <v>63</v>
      </c>
      <c r="N245" s="41">
        <v>5</v>
      </c>
      <c r="P245" s="24">
        <v>0</v>
      </c>
      <c r="Q245" s="74" t="s">
        <v>139</v>
      </c>
      <c r="W245" s="69">
        <v>0</v>
      </c>
      <c r="X245" s="26">
        <v>20</v>
      </c>
      <c r="Y245" s="100">
        <v>3</v>
      </c>
      <c r="Z245" s="97">
        <v>0.35</v>
      </c>
      <c r="AA245" s="26"/>
      <c r="AB245" s="114"/>
      <c r="AC245" s="26"/>
      <c r="AD245" s="26"/>
      <c r="AE245" s="74" t="s">
        <v>139</v>
      </c>
      <c r="AF245" s="29"/>
      <c r="AG245" s="26"/>
      <c r="AH245" s="26"/>
      <c r="AI245" s="117"/>
      <c r="AJ245" s="26"/>
      <c r="AK245" s="26"/>
      <c r="AL245" s="26">
        <v>1</v>
      </c>
      <c r="AO245" s="26">
        <v>0</v>
      </c>
      <c r="AP245" s="26">
        <v>0</v>
      </c>
      <c r="AQ245" s="26">
        <v>1</v>
      </c>
      <c r="AR245" s="26" t="s">
        <v>139</v>
      </c>
      <c r="AU245" s="121">
        <v>0</v>
      </c>
      <c r="AV245" s="121"/>
      <c r="AY245" s="26" t="s">
        <v>220</v>
      </c>
    </row>
    <row r="246" spans="3:51">
      <c r="C246">
        <v>237</v>
      </c>
      <c r="D246" s="26">
        <v>72</v>
      </c>
      <c r="E246" s="44">
        <v>8.27</v>
      </c>
      <c r="F246" s="142"/>
      <c r="G246" s="142"/>
      <c r="I246" s="46">
        <v>0.16215686274509802</v>
      </c>
      <c r="L246" s="44">
        <v>0</v>
      </c>
      <c r="M246" s="59">
        <v>51</v>
      </c>
      <c r="N246" s="41">
        <v>4</v>
      </c>
      <c r="P246" s="24">
        <v>0</v>
      </c>
      <c r="Q246" s="74"/>
      <c r="W246" s="69">
        <v>0</v>
      </c>
      <c r="X246" s="26"/>
      <c r="Y246" s="99">
        <v>4</v>
      </c>
      <c r="Z246" s="97">
        <v>0.1</v>
      </c>
      <c r="AA246" s="26"/>
      <c r="AB246" s="114"/>
      <c r="AC246" s="26"/>
      <c r="AD246" s="26"/>
      <c r="AE246" s="74"/>
      <c r="AF246" s="29"/>
      <c r="AG246" s="26"/>
      <c r="AH246" s="26"/>
      <c r="AI246" s="117"/>
      <c r="AJ246" s="26"/>
      <c r="AK246" s="26"/>
      <c r="AL246" s="26">
        <v>3</v>
      </c>
      <c r="AO246" s="26">
        <v>0</v>
      </c>
      <c r="AP246" s="26">
        <v>0</v>
      </c>
      <c r="AQ246" s="26">
        <v>0</v>
      </c>
      <c r="AR246" s="26"/>
      <c r="AU246" s="121">
        <v>0</v>
      </c>
      <c r="AV246" s="121"/>
      <c r="AY246" s="26">
        <v>2</v>
      </c>
    </row>
    <row r="247" spans="3:51">
      <c r="C247">
        <v>238</v>
      </c>
      <c r="D247" s="26">
        <v>73</v>
      </c>
      <c r="E247" s="44">
        <v>5.18</v>
      </c>
      <c r="F247" s="142"/>
      <c r="G247" s="142"/>
      <c r="I247" s="46">
        <v>0.15696969696969695</v>
      </c>
      <c r="L247" s="44">
        <v>0</v>
      </c>
      <c r="M247" s="59">
        <v>33</v>
      </c>
      <c r="N247" s="41">
        <v>4</v>
      </c>
      <c r="P247" s="24">
        <v>0</v>
      </c>
      <c r="Q247" s="74" t="s">
        <v>139</v>
      </c>
      <c r="W247" s="69">
        <v>0</v>
      </c>
      <c r="X247" s="26"/>
      <c r="Y247" s="100">
        <v>5</v>
      </c>
      <c r="Z247" s="97">
        <v>0.05</v>
      </c>
      <c r="AA247" s="26"/>
      <c r="AB247" s="114"/>
      <c r="AC247" s="26"/>
      <c r="AD247" s="26"/>
      <c r="AE247" s="74" t="s">
        <v>139</v>
      </c>
      <c r="AF247" s="29"/>
      <c r="AG247" s="26"/>
      <c r="AH247" s="26"/>
      <c r="AI247" s="117"/>
      <c r="AJ247" s="26"/>
      <c r="AK247" s="26"/>
      <c r="AL247" s="26">
        <v>0</v>
      </c>
      <c r="AO247" s="26">
        <v>0</v>
      </c>
      <c r="AP247" s="26">
        <v>0</v>
      </c>
      <c r="AQ247" s="26">
        <v>0</v>
      </c>
      <c r="AR247" s="26"/>
      <c r="AU247" s="121">
        <v>0</v>
      </c>
      <c r="AV247" s="121"/>
      <c r="AY247" s="26">
        <v>0</v>
      </c>
    </row>
    <row r="248" spans="3:51">
      <c r="C248">
        <v>239</v>
      </c>
      <c r="D248" s="26">
        <v>71</v>
      </c>
      <c r="E248" s="44">
        <v>6.58</v>
      </c>
      <c r="F248" s="142"/>
      <c r="G248" s="142"/>
      <c r="I248" s="46">
        <v>0.13159999999999999</v>
      </c>
      <c r="L248" s="44">
        <v>1</v>
      </c>
      <c r="M248" s="59">
        <v>50</v>
      </c>
      <c r="N248" s="41">
        <v>5</v>
      </c>
      <c r="P248" s="24">
        <v>0</v>
      </c>
      <c r="Q248" s="74"/>
      <c r="W248" s="69">
        <v>0</v>
      </c>
      <c r="X248" s="26"/>
      <c r="Y248" s="100">
        <v>2</v>
      </c>
      <c r="Z248" s="97">
        <v>0.33</v>
      </c>
      <c r="AA248" s="26"/>
      <c r="AB248" s="114"/>
      <c r="AC248" s="26"/>
      <c r="AD248" s="26"/>
      <c r="AE248" s="74"/>
      <c r="AF248" s="29"/>
      <c r="AG248" s="26"/>
      <c r="AH248" s="26"/>
      <c r="AI248" s="117"/>
      <c r="AJ248" s="26"/>
      <c r="AK248" s="26"/>
      <c r="AL248" s="26">
        <v>2</v>
      </c>
      <c r="AO248" s="26">
        <v>0</v>
      </c>
      <c r="AP248" s="26">
        <v>0</v>
      </c>
      <c r="AQ248" s="26">
        <v>1</v>
      </c>
      <c r="AR248" s="26" t="s">
        <v>139</v>
      </c>
      <c r="AU248" s="121">
        <v>0</v>
      </c>
      <c r="AV248" s="121"/>
      <c r="AY248" s="26" t="s">
        <v>220</v>
      </c>
    </row>
    <row r="249" spans="3:51">
      <c r="C249">
        <v>240</v>
      </c>
      <c r="D249" s="26">
        <v>63</v>
      </c>
      <c r="E249" s="44">
        <v>5.9</v>
      </c>
      <c r="F249" s="142"/>
      <c r="G249" s="142"/>
      <c r="I249" s="46">
        <v>0.23600000000000002</v>
      </c>
      <c r="L249" s="44">
        <v>1</v>
      </c>
      <c r="M249" s="59">
        <v>25</v>
      </c>
      <c r="N249" s="41"/>
      <c r="P249" s="26">
        <v>1</v>
      </c>
      <c r="Q249" s="74"/>
      <c r="W249" s="69">
        <v>0</v>
      </c>
      <c r="X249" s="26">
        <v>15</v>
      </c>
      <c r="Y249" s="99">
        <v>3</v>
      </c>
      <c r="Z249" s="97">
        <v>1</v>
      </c>
      <c r="AA249" s="26"/>
      <c r="AB249" s="114"/>
      <c r="AC249" s="26"/>
      <c r="AD249" s="26"/>
      <c r="AE249" s="74"/>
      <c r="AF249" s="29"/>
      <c r="AG249" s="26"/>
      <c r="AH249" s="26"/>
      <c r="AI249" s="117"/>
      <c r="AJ249" s="26"/>
      <c r="AK249" s="26"/>
      <c r="AL249" s="26">
        <v>3</v>
      </c>
      <c r="AO249" s="26">
        <v>0</v>
      </c>
      <c r="AP249" s="26">
        <v>0</v>
      </c>
      <c r="AQ249" s="26">
        <v>1</v>
      </c>
      <c r="AR249" s="26" t="s">
        <v>140</v>
      </c>
      <c r="AU249" s="121">
        <v>0</v>
      </c>
      <c r="AV249" s="121"/>
      <c r="AY249" s="26" t="s">
        <v>220</v>
      </c>
    </row>
    <row r="250" spans="3:51">
      <c r="C250">
        <v>241</v>
      </c>
      <c r="D250" s="26">
        <v>65</v>
      </c>
      <c r="E250" s="44">
        <v>7</v>
      </c>
      <c r="F250" s="142"/>
      <c r="G250" s="142"/>
      <c r="I250" s="46">
        <v>0.17499999999999999</v>
      </c>
      <c r="L250" s="44">
        <v>0</v>
      </c>
      <c r="M250" s="59">
        <v>40</v>
      </c>
      <c r="N250" s="41">
        <v>5</v>
      </c>
      <c r="P250" s="24">
        <v>0</v>
      </c>
      <c r="Q250" s="74" t="s">
        <v>139</v>
      </c>
      <c r="W250" s="69">
        <v>0.55000000000000004</v>
      </c>
      <c r="X250" s="26"/>
      <c r="Y250" s="100">
        <v>3</v>
      </c>
      <c r="Z250" s="97">
        <v>0.2</v>
      </c>
      <c r="AA250" s="26"/>
      <c r="AB250" s="114"/>
      <c r="AC250" s="26"/>
      <c r="AD250" s="26"/>
      <c r="AE250" s="74" t="s">
        <v>139</v>
      </c>
      <c r="AF250" s="29"/>
      <c r="AG250" s="26"/>
      <c r="AH250" s="26"/>
      <c r="AI250" s="117"/>
      <c r="AJ250" s="26"/>
      <c r="AK250" s="26"/>
      <c r="AL250" s="26">
        <v>1</v>
      </c>
      <c r="AO250" s="26">
        <v>0</v>
      </c>
      <c r="AP250" s="26">
        <v>0</v>
      </c>
      <c r="AQ250" s="26">
        <v>0</v>
      </c>
      <c r="AR250" s="26"/>
      <c r="AU250" s="121">
        <v>0</v>
      </c>
      <c r="AV250" s="121"/>
      <c r="AY250" s="26">
        <v>2</v>
      </c>
    </row>
    <row r="251" spans="3:51">
      <c r="C251">
        <v>242</v>
      </c>
      <c r="D251" s="26">
        <v>76</v>
      </c>
      <c r="E251" s="44">
        <v>6.117</v>
      </c>
      <c r="F251" s="142"/>
      <c r="G251" s="142"/>
      <c r="I251" s="46">
        <v>0.16667574931880108</v>
      </c>
      <c r="L251" s="44">
        <v>0</v>
      </c>
      <c r="M251" s="59">
        <v>36.700000000000003</v>
      </c>
      <c r="N251" s="41">
        <v>5</v>
      </c>
      <c r="P251" s="24">
        <v>0</v>
      </c>
      <c r="Q251" s="74" t="s">
        <v>139</v>
      </c>
      <c r="W251" s="69">
        <v>0.38</v>
      </c>
      <c r="X251" s="26"/>
      <c r="Y251" s="99">
        <v>1</v>
      </c>
      <c r="Z251" s="97">
        <v>0.22</v>
      </c>
      <c r="AA251" s="26"/>
      <c r="AB251" s="114"/>
      <c r="AC251" s="26"/>
      <c r="AD251" s="26"/>
      <c r="AE251" s="74" t="s">
        <v>139</v>
      </c>
      <c r="AF251" s="29"/>
      <c r="AG251" s="26"/>
      <c r="AH251" s="26"/>
      <c r="AI251" s="117"/>
      <c r="AJ251" s="26"/>
      <c r="AK251" s="26"/>
      <c r="AL251" s="26">
        <v>2</v>
      </c>
      <c r="AO251" s="26">
        <v>0</v>
      </c>
      <c r="AP251" s="26"/>
      <c r="AQ251" s="26">
        <v>0</v>
      </c>
      <c r="AR251" s="26"/>
      <c r="AU251" s="121">
        <v>0</v>
      </c>
      <c r="AV251" s="121"/>
      <c r="AY251" s="26">
        <v>2</v>
      </c>
    </row>
    <row r="252" spans="3:51">
      <c r="C252">
        <v>243</v>
      </c>
      <c r="D252" s="26">
        <v>67</v>
      </c>
      <c r="E252" s="44">
        <v>5.16</v>
      </c>
      <c r="F252" s="142"/>
      <c r="G252" s="142"/>
      <c r="I252" s="46">
        <v>0.17315436241610738</v>
      </c>
      <c r="L252" s="44">
        <v>0</v>
      </c>
      <c r="M252" s="59">
        <v>29.8</v>
      </c>
      <c r="N252" s="41">
        <v>4</v>
      </c>
      <c r="P252" s="24">
        <v>0</v>
      </c>
      <c r="Q252" s="74" t="s">
        <v>140</v>
      </c>
      <c r="W252" s="69">
        <v>0.5</v>
      </c>
      <c r="X252" s="26"/>
      <c r="Y252" s="99">
        <v>1</v>
      </c>
      <c r="Z252" s="26"/>
      <c r="AA252" s="26">
        <v>8</v>
      </c>
      <c r="AB252" s="114"/>
      <c r="AC252" s="26"/>
      <c r="AD252" s="26"/>
      <c r="AE252" s="74" t="s">
        <v>140</v>
      </c>
      <c r="AF252" s="29"/>
      <c r="AG252" s="26"/>
      <c r="AH252" s="26"/>
      <c r="AI252" s="117"/>
      <c r="AJ252" s="26"/>
      <c r="AK252" s="26"/>
      <c r="AL252" s="26">
        <v>2</v>
      </c>
      <c r="AO252" s="26">
        <v>0</v>
      </c>
      <c r="AP252" s="26"/>
      <c r="AQ252" s="26">
        <v>0</v>
      </c>
      <c r="AR252" s="26"/>
      <c r="AU252" s="121">
        <v>0</v>
      </c>
      <c r="AV252" s="121"/>
      <c r="AY252" s="26">
        <v>2</v>
      </c>
    </row>
    <row r="253" spans="3:51">
      <c r="C253">
        <v>244</v>
      </c>
      <c r="D253" s="26">
        <v>62</v>
      </c>
      <c r="E253" s="44">
        <v>7.4</v>
      </c>
      <c r="F253" s="142"/>
      <c r="G253" s="142"/>
      <c r="I253" s="46">
        <v>0.16444444444444445</v>
      </c>
      <c r="L253" s="44">
        <v>0</v>
      </c>
      <c r="M253" s="59">
        <v>45</v>
      </c>
      <c r="N253" s="41">
        <v>4</v>
      </c>
      <c r="P253" s="24">
        <v>0</v>
      </c>
      <c r="Q253" s="74"/>
      <c r="W253" s="69">
        <v>0</v>
      </c>
      <c r="X253" s="26"/>
      <c r="Y253" s="100">
        <v>1</v>
      </c>
      <c r="Z253" s="97">
        <v>0.4</v>
      </c>
      <c r="AA253" s="26"/>
      <c r="AB253" s="114"/>
      <c r="AC253" s="26"/>
      <c r="AD253" s="26"/>
      <c r="AE253" s="74"/>
      <c r="AF253" s="29"/>
      <c r="AG253" s="26"/>
      <c r="AH253" s="26"/>
      <c r="AI253" s="117"/>
      <c r="AJ253" s="26"/>
      <c r="AK253" s="26"/>
      <c r="AL253" s="26">
        <v>2</v>
      </c>
      <c r="AO253" s="26">
        <v>0</v>
      </c>
      <c r="AP253" s="26"/>
      <c r="AQ253" s="26">
        <v>0</v>
      </c>
      <c r="AR253" s="26"/>
      <c r="AU253" s="121">
        <v>0</v>
      </c>
      <c r="AV253" s="121"/>
      <c r="AY253" s="26">
        <v>2</v>
      </c>
    </row>
    <row r="254" spans="3:51">
      <c r="C254">
        <v>245</v>
      </c>
      <c r="D254" s="26">
        <v>71</v>
      </c>
      <c r="E254" s="44">
        <v>21</v>
      </c>
      <c r="F254" s="142"/>
      <c r="G254" s="142"/>
      <c r="I254" s="46">
        <v>0.42</v>
      </c>
      <c r="L254" s="44">
        <v>1</v>
      </c>
      <c r="M254" s="59">
        <v>50</v>
      </c>
      <c r="N254" s="41">
        <v>4</v>
      </c>
      <c r="P254" s="24">
        <v>0</v>
      </c>
      <c r="Q254" s="74" t="s">
        <v>139</v>
      </c>
      <c r="W254" s="69">
        <v>0</v>
      </c>
      <c r="X254" s="26"/>
      <c r="Y254" s="100">
        <v>2</v>
      </c>
      <c r="Z254" s="97">
        <v>0.25</v>
      </c>
      <c r="AA254" s="26" t="s">
        <v>196</v>
      </c>
      <c r="AB254" s="114"/>
      <c r="AC254" s="26"/>
      <c r="AD254" s="26"/>
      <c r="AE254" s="74" t="s">
        <v>139</v>
      </c>
      <c r="AF254" s="29"/>
      <c r="AG254" s="26"/>
      <c r="AH254" s="26"/>
      <c r="AI254" s="117"/>
      <c r="AJ254" s="26"/>
      <c r="AK254" s="26"/>
      <c r="AL254" s="26">
        <v>2</v>
      </c>
      <c r="AO254" s="26">
        <v>0</v>
      </c>
      <c r="AP254" s="26">
        <v>0</v>
      </c>
      <c r="AQ254" s="26">
        <v>1</v>
      </c>
      <c r="AR254" s="26" t="s">
        <v>139</v>
      </c>
      <c r="AU254" s="121">
        <v>0</v>
      </c>
      <c r="AV254" s="121"/>
      <c r="AY254" s="26" t="s">
        <v>220</v>
      </c>
    </row>
    <row r="255" spans="3:51">
      <c r="C255">
        <v>246</v>
      </c>
      <c r="D255" s="26">
        <v>73</v>
      </c>
      <c r="E255" s="44">
        <v>6.3</v>
      </c>
      <c r="F255" s="142"/>
      <c r="G255" s="142"/>
      <c r="I255" s="46">
        <v>0.1575</v>
      </c>
      <c r="L255" s="44">
        <v>0</v>
      </c>
      <c r="M255" s="59">
        <v>40</v>
      </c>
      <c r="N255" s="41">
        <v>5</v>
      </c>
      <c r="P255" s="24">
        <v>0</v>
      </c>
      <c r="Q255" s="74" t="s">
        <v>140</v>
      </c>
      <c r="W255" s="69">
        <v>0</v>
      </c>
      <c r="X255" s="26"/>
      <c r="Y255" s="99">
        <v>1</v>
      </c>
      <c r="Z255" s="26"/>
      <c r="AA255" s="26"/>
      <c r="AB255" s="114"/>
      <c r="AC255" s="26"/>
      <c r="AD255" s="26"/>
      <c r="AE255" s="74" t="s">
        <v>140</v>
      </c>
      <c r="AF255" s="29"/>
      <c r="AG255" s="26"/>
      <c r="AH255" s="26"/>
      <c r="AI255" s="117"/>
      <c r="AJ255" s="26"/>
      <c r="AK255" s="26"/>
      <c r="AL255" s="26">
        <v>2</v>
      </c>
      <c r="AO255" s="26">
        <v>1</v>
      </c>
      <c r="AP255" s="26"/>
      <c r="AQ255" s="26">
        <v>0</v>
      </c>
      <c r="AR255" s="26"/>
      <c r="AU255" s="121">
        <v>0</v>
      </c>
      <c r="AV255" s="121"/>
      <c r="AY255" s="26">
        <v>2</v>
      </c>
    </row>
    <row r="256" spans="3:51">
      <c r="C256">
        <v>247</v>
      </c>
      <c r="D256" s="26">
        <v>74</v>
      </c>
      <c r="E256" s="44">
        <v>10.75</v>
      </c>
      <c r="F256" s="142"/>
      <c r="G256" s="142"/>
      <c r="I256" s="46">
        <v>0.35833333333333334</v>
      </c>
      <c r="L256" s="44">
        <v>0</v>
      </c>
      <c r="M256" s="59">
        <v>30</v>
      </c>
      <c r="N256" s="41">
        <v>5</v>
      </c>
      <c r="P256" s="26">
        <v>1</v>
      </c>
      <c r="Q256" s="74" t="s">
        <v>139</v>
      </c>
      <c r="W256" s="69">
        <v>1.27</v>
      </c>
      <c r="X256" s="26">
        <v>28</v>
      </c>
      <c r="Y256" s="100">
        <v>3</v>
      </c>
      <c r="Z256" s="97">
        <v>1</v>
      </c>
      <c r="AA256" s="26"/>
      <c r="AB256" s="114"/>
      <c r="AC256" s="26"/>
      <c r="AD256" s="26"/>
      <c r="AE256" s="74" t="s">
        <v>139</v>
      </c>
      <c r="AF256" s="29"/>
      <c r="AG256" s="26"/>
      <c r="AH256" s="26"/>
      <c r="AI256" s="117"/>
      <c r="AJ256" s="26"/>
      <c r="AK256" s="26"/>
      <c r="AL256" s="26">
        <v>2</v>
      </c>
      <c r="AO256" s="26">
        <v>0</v>
      </c>
      <c r="AP256" s="26">
        <v>0</v>
      </c>
      <c r="AQ256" s="26">
        <v>1</v>
      </c>
      <c r="AR256" s="26" t="s">
        <v>217</v>
      </c>
      <c r="AU256" s="121">
        <v>0</v>
      </c>
      <c r="AV256" s="121"/>
      <c r="AY256" s="26" t="s">
        <v>220</v>
      </c>
    </row>
    <row r="257" spans="3:51">
      <c r="C257">
        <v>248</v>
      </c>
      <c r="D257" s="26">
        <v>63</v>
      </c>
      <c r="E257" s="44">
        <v>11</v>
      </c>
      <c r="F257" s="142"/>
      <c r="G257" s="142"/>
      <c r="I257" s="46">
        <v>0.33333333333333331</v>
      </c>
      <c r="L257" s="44">
        <v>1</v>
      </c>
      <c r="M257" s="59">
        <v>33</v>
      </c>
      <c r="N257" s="41"/>
      <c r="P257" s="24">
        <v>0</v>
      </c>
      <c r="Q257" s="74"/>
      <c r="W257" s="69">
        <v>1.05</v>
      </c>
      <c r="X257" s="26"/>
      <c r="Y257" s="99">
        <v>3</v>
      </c>
      <c r="Z257" s="26"/>
      <c r="AA257" s="26"/>
      <c r="AB257" s="114"/>
      <c r="AC257" s="26"/>
      <c r="AD257" s="26"/>
      <c r="AE257" s="74"/>
      <c r="AF257" s="29"/>
      <c r="AG257" s="26"/>
      <c r="AH257" s="26"/>
      <c r="AI257" s="117"/>
      <c r="AJ257" s="26"/>
      <c r="AK257" s="26"/>
      <c r="AL257" s="26">
        <v>3</v>
      </c>
      <c r="AO257" s="26">
        <v>1</v>
      </c>
      <c r="AP257" s="26">
        <v>0</v>
      </c>
      <c r="AQ257" s="26">
        <v>1</v>
      </c>
      <c r="AR257" s="26" t="s">
        <v>139</v>
      </c>
      <c r="AU257" s="121">
        <v>1</v>
      </c>
      <c r="AV257" s="121"/>
      <c r="AY257" s="26" t="s">
        <v>221</v>
      </c>
    </row>
    <row r="258" spans="3:51">
      <c r="C258">
        <v>249</v>
      </c>
      <c r="D258" s="26">
        <v>64</v>
      </c>
      <c r="E258" s="26">
        <v>3.96</v>
      </c>
      <c r="F258" s="71"/>
      <c r="G258" s="71"/>
      <c r="I258" s="46">
        <v>0.11314285714285714</v>
      </c>
      <c r="L258" s="26">
        <v>1</v>
      </c>
      <c r="M258" s="53">
        <v>35</v>
      </c>
      <c r="N258" s="57">
        <v>4</v>
      </c>
      <c r="P258" s="24">
        <v>0</v>
      </c>
      <c r="Q258" s="73"/>
      <c r="W258" s="69">
        <v>0</v>
      </c>
      <c r="X258" s="26"/>
      <c r="Y258" s="98">
        <v>2</v>
      </c>
      <c r="Z258" s="97">
        <v>0.5</v>
      </c>
      <c r="AA258" s="26"/>
      <c r="AB258" s="114"/>
      <c r="AC258" s="26"/>
      <c r="AD258" s="26"/>
      <c r="AE258" s="73"/>
      <c r="AF258" s="29"/>
      <c r="AG258" s="26"/>
      <c r="AH258" s="26"/>
      <c r="AI258" s="117"/>
      <c r="AJ258" s="26"/>
      <c r="AK258" s="26"/>
      <c r="AL258" s="26">
        <v>2</v>
      </c>
      <c r="AO258" s="26">
        <v>0</v>
      </c>
      <c r="AP258" s="26"/>
      <c r="AQ258" s="26">
        <v>0</v>
      </c>
      <c r="AR258" s="26"/>
      <c r="AU258" s="121">
        <v>0</v>
      </c>
      <c r="AV258" s="121"/>
      <c r="AY258" s="26">
        <v>2</v>
      </c>
    </row>
    <row r="259" spans="3:51">
      <c r="C259">
        <v>250</v>
      </c>
      <c r="D259" s="26">
        <v>65</v>
      </c>
      <c r="E259" s="26">
        <v>23</v>
      </c>
      <c r="F259" s="71"/>
      <c r="G259" s="71"/>
      <c r="I259" s="46">
        <v>0.39655172413793105</v>
      </c>
      <c r="L259" s="26">
        <v>0</v>
      </c>
      <c r="M259" s="53">
        <v>58</v>
      </c>
      <c r="N259" s="57">
        <v>5</v>
      </c>
      <c r="P259" s="24">
        <v>0</v>
      </c>
      <c r="Q259" s="73" t="s">
        <v>140</v>
      </c>
      <c r="W259" s="69">
        <v>2.23</v>
      </c>
      <c r="X259" s="26"/>
      <c r="Y259" s="96">
        <v>1</v>
      </c>
      <c r="Z259" s="97">
        <v>0.2</v>
      </c>
      <c r="AA259" s="26"/>
      <c r="AB259" s="114"/>
      <c r="AC259" s="26"/>
      <c r="AD259" s="26"/>
      <c r="AE259" s="73" t="s">
        <v>140</v>
      </c>
      <c r="AF259" s="29"/>
      <c r="AG259" s="26"/>
      <c r="AH259" s="26"/>
      <c r="AI259" s="117"/>
      <c r="AJ259" s="26"/>
      <c r="AK259" s="26"/>
      <c r="AL259" s="26">
        <v>1</v>
      </c>
      <c r="AO259" s="26">
        <v>1</v>
      </c>
      <c r="AP259" s="26">
        <v>0</v>
      </c>
      <c r="AQ259" s="26">
        <v>1</v>
      </c>
      <c r="AR259" s="26" t="s">
        <v>140</v>
      </c>
      <c r="AU259" s="121">
        <v>0</v>
      </c>
      <c r="AV259" s="121"/>
      <c r="AY259" s="26" t="s">
        <v>220</v>
      </c>
    </row>
    <row r="260" spans="3:51">
      <c r="C260">
        <v>251</v>
      </c>
      <c r="D260" s="26">
        <v>69</v>
      </c>
      <c r="E260" s="26">
        <v>5.4</v>
      </c>
      <c r="F260" s="71"/>
      <c r="G260" s="71"/>
      <c r="I260" s="46">
        <v>0.2</v>
      </c>
      <c r="L260" s="26">
        <v>1</v>
      </c>
      <c r="M260" s="53">
        <v>27</v>
      </c>
      <c r="N260" s="57">
        <v>5</v>
      </c>
      <c r="P260" s="26"/>
      <c r="Q260" s="73" t="s">
        <v>139</v>
      </c>
      <c r="W260" s="69">
        <v>3.89</v>
      </c>
      <c r="X260" s="26"/>
      <c r="Y260" s="98">
        <v>1</v>
      </c>
      <c r="Z260" s="26"/>
      <c r="AA260" s="26" t="s">
        <v>183</v>
      </c>
      <c r="AB260" s="114"/>
      <c r="AC260" s="26"/>
      <c r="AD260" s="26"/>
      <c r="AE260" s="73" t="s">
        <v>139</v>
      </c>
      <c r="AF260" s="29"/>
      <c r="AG260" s="26"/>
      <c r="AH260" s="26"/>
      <c r="AI260" s="117"/>
      <c r="AJ260" s="26"/>
      <c r="AK260" s="26"/>
      <c r="AL260" s="26">
        <v>2</v>
      </c>
      <c r="AO260" s="26">
        <v>1</v>
      </c>
      <c r="AP260" s="26">
        <v>0</v>
      </c>
      <c r="AQ260" s="26">
        <v>1</v>
      </c>
      <c r="AR260" s="26" t="s">
        <v>140</v>
      </c>
      <c r="AU260" s="121">
        <v>0</v>
      </c>
      <c r="AV260" s="121"/>
      <c r="AY260" s="26" t="s">
        <v>220</v>
      </c>
    </row>
    <row r="261" spans="3:51">
      <c r="C261">
        <v>252</v>
      </c>
      <c r="D261" s="26">
        <v>66</v>
      </c>
      <c r="E261" s="26">
        <v>8.1</v>
      </c>
      <c r="F261" s="71"/>
      <c r="G261" s="71"/>
      <c r="I261" s="46">
        <v>0.3</v>
      </c>
      <c r="L261" s="26">
        <v>0</v>
      </c>
      <c r="M261" s="53">
        <v>27</v>
      </c>
      <c r="N261" s="57">
        <v>4</v>
      </c>
      <c r="P261" s="24">
        <v>0</v>
      </c>
      <c r="Q261" s="73"/>
      <c r="W261" s="69">
        <v>0</v>
      </c>
      <c r="X261" s="26"/>
      <c r="Y261" s="96">
        <v>1</v>
      </c>
      <c r="Z261" s="97">
        <v>0.33</v>
      </c>
      <c r="AA261" s="26"/>
      <c r="AB261" s="114"/>
      <c r="AC261" s="26"/>
      <c r="AD261" s="26"/>
      <c r="AE261" s="73"/>
      <c r="AF261" s="29"/>
      <c r="AG261" s="26"/>
      <c r="AH261" s="26"/>
      <c r="AI261" s="117"/>
      <c r="AJ261" s="26"/>
      <c r="AK261" s="26"/>
      <c r="AL261" s="26">
        <v>1</v>
      </c>
      <c r="AO261" s="26">
        <v>0</v>
      </c>
      <c r="AP261" s="26"/>
      <c r="AQ261" s="26">
        <v>1</v>
      </c>
      <c r="AR261" s="26" t="s">
        <v>139</v>
      </c>
      <c r="AU261" s="121">
        <v>0</v>
      </c>
      <c r="AV261" s="121"/>
      <c r="AY261" s="26" t="s">
        <v>220</v>
      </c>
    </row>
    <row r="262" spans="3:51">
      <c r="C262">
        <v>253</v>
      </c>
      <c r="D262" s="26">
        <v>68</v>
      </c>
      <c r="E262" s="26">
        <v>7.5</v>
      </c>
      <c r="F262" s="71"/>
      <c r="G262" s="71"/>
      <c r="I262" s="46">
        <v>9.375E-2</v>
      </c>
      <c r="L262" s="26">
        <v>1</v>
      </c>
      <c r="M262" s="53">
        <v>80</v>
      </c>
      <c r="N262" s="57">
        <v>4</v>
      </c>
      <c r="P262" s="24">
        <v>0</v>
      </c>
      <c r="Q262" s="73"/>
      <c r="W262" s="69">
        <v>0</v>
      </c>
      <c r="X262" s="26"/>
      <c r="Y262" s="98">
        <v>1</v>
      </c>
      <c r="Z262" s="97">
        <v>0.4</v>
      </c>
      <c r="AA262" s="26"/>
      <c r="AB262" s="114"/>
      <c r="AC262" s="26"/>
      <c r="AD262" s="26"/>
      <c r="AE262" s="73"/>
      <c r="AF262" s="29"/>
      <c r="AG262" s="26"/>
      <c r="AH262" s="26"/>
      <c r="AI262" s="117"/>
      <c r="AJ262" s="26"/>
      <c r="AK262" s="26"/>
      <c r="AL262" s="26">
        <v>2</v>
      </c>
      <c r="AO262" s="26">
        <v>0</v>
      </c>
      <c r="AP262" s="26">
        <v>0</v>
      </c>
      <c r="AQ262" s="26">
        <v>0</v>
      </c>
      <c r="AR262" s="26"/>
      <c r="AU262" s="121">
        <v>0</v>
      </c>
      <c r="AV262" s="121"/>
      <c r="AY262" s="26">
        <v>2</v>
      </c>
    </row>
    <row r="263" spans="3:51">
      <c r="C263">
        <v>254</v>
      </c>
      <c r="D263" s="26">
        <v>63</v>
      </c>
      <c r="E263" s="26">
        <v>8.8000000000000007</v>
      </c>
      <c r="F263" s="71"/>
      <c r="G263" s="71"/>
      <c r="I263" s="46">
        <v>0.3666666666666667</v>
      </c>
      <c r="L263" s="26">
        <v>0</v>
      </c>
      <c r="M263" s="53">
        <v>24</v>
      </c>
      <c r="N263" s="57">
        <v>5</v>
      </c>
      <c r="P263" s="26">
        <v>1</v>
      </c>
      <c r="Q263" s="73"/>
      <c r="W263" s="69">
        <v>0</v>
      </c>
      <c r="X263" s="26"/>
      <c r="Y263" s="96">
        <v>1</v>
      </c>
      <c r="Z263" s="97">
        <v>0.6</v>
      </c>
      <c r="AA263" s="26"/>
      <c r="AB263" s="114"/>
      <c r="AC263" s="26"/>
      <c r="AD263" s="26"/>
      <c r="AE263" s="73"/>
      <c r="AF263" s="29"/>
      <c r="AG263" s="26"/>
      <c r="AH263" s="26"/>
      <c r="AI263" s="117"/>
      <c r="AJ263" s="26"/>
      <c r="AK263" s="26"/>
      <c r="AL263" s="26">
        <v>2</v>
      </c>
      <c r="AO263" s="26">
        <v>0</v>
      </c>
      <c r="AP263" s="26">
        <v>0</v>
      </c>
      <c r="AQ263" s="26">
        <v>0</v>
      </c>
      <c r="AR263" s="26"/>
      <c r="AU263" s="121">
        <v>0</v>
      </c>
      <c r="AV263" s="121"/>
      <c r="AY263" s="26">
        <v>2</v>
      </c>
    </row>
    <row r="264" spans="3:51">
      <c r="C264">
        <v>255</v>
      </c>
      <c r="D264" s="26">
        <v>79</v>
      </c>
      <c r="E264" s="26">
        <v>5.5</v>
      </c>
      <c r="F264" s="71"/>
      <c r="G264" s="71"/>
      <c r="I264" s="46">
        <v>0.20370370370370369</v>
      </c>
      <c r="L264" s="26">
        <v>0</v>
      </c>
      <c r="M264" s="53">
        <v>27</v>
      </c>
      <c r="N264" s="57">
        <v>2</v>
      </c>
      <c r="P264" s="24">
        <v>0</v>
      </c>
      <c r="Q264" s="73"/>
      <c r="W264" s="69">
        <v>0.38</v>
      </c>
      <c r="X264" s="26"/>
      <c r="Y264" s="96">
        <v>3</v>
      </c>
      <c r="Z264" s="97">
        <v>0.7</v>
      </c>
      <c r="AA264" s="26"/>
      <c r="AB264" s="114"/>
      <c r="AC264" s="26"/>
      <c r="AD264" s="26"/>
      <c r="AE264" s="73"/>
      <c r="AF264" s="29"/>
      <c r="AG264" s="26"/>
      <c r="AH264" s="26"/>
      <c r="AI264" s="117"/>
      <c r="AJ264" s="26"/>
      <c r="AK264" s="26"/>
      <c r="AL264" s="26">
        <v>3</v>
      </c>
      <c r="AO264" s="26">
        <v>0</v>
      </c>
      <c r="AP264" s="26">
        <v>0</v>
      </c>
      <c r="AQ264" s="26">
        <v>1</v>
      </c>
      <c r="AR264" s="26" t="s">
        <v>139</v>
      </c>
      <c r="AU264" s="121">
        <v>0</v>
      </c>
      <c r="AV264" s="121"/>
      <c r="AY264" s="26" t="s">
        <v>220</v>
      </c>
    </row>
    <row r="265" spans="3:51">
      <c r="C265">
        <v>256</v>
      </c>
      <c r="D265" s="26">
        <v>69</v>
      </c>
      <c r="E265" s="26">
        <v>5.9</v>
      </c>
      <c r="F265" s="71"/>
      <c r="G265" s="71"/>
      <c r="I265" s="46">
        <v>0.13111111111111112</v>
      </c>
      <c r="L265" s="26">
        <v>0</v>
      </c>
      <c r="M265" s="53">
        <v>45</v>
      </c>
      <c r="N265" s="57">
        <v>4</v>
      </c>
      <c r="P265" s="24">
        <v>0</v>
      </c>
      <c r="Q265" s="73" t="s">
        <v>140</v>
      </c>
      <c r="W265" s="69">
        <v>2.6</v>
      </c>
      <c r="X265" s="26"/>
      <c r="Y265" s="96">
        <v>2</v>
      </c>
      <c r="Z265" s="26"/>
      <c r="AA265" s="26"/>
      <c r="AB265" s="114"/>
      <c r="AC265" s="26"/>
      <c r="AD265" s="26"/>
      <c r="AE265" s="73" t="s">
        <v>140</v>
      </c>
      <c r="AF265" s="29"/>
      <c r="AG265" s="26"/>
      <c r="AH265" s="26"/>
      <c r="AI265" s="117"/>
      <c r="AJ265" s="26"/>
      <c r="AK265" s="26"/>
      <c r="AL265" s="26">
        <v>1</v>
      </c>
      <c r="AO265" s="26">
        <v>0</v>
      </c>
      <c r="AP265" s="26">
        <v>0</v>
      </c>
      <c r="AQ265" s="26">
        <v>0</v>
      </c>
      <c r="AR265" s="26"/>
      <c r="AU265" s="121">
        <v>0</v>
      </c>
      <c r="AV265" s="121"/>
      <c r="AY265" s="26">
        <v>2</v>
      </c>
    </row>
    <row r="266" spans="3:51">
      <c r="C266">
        <v>257</v>
      </c>
      <c r="D266" s="26">
        <v>75</v>
      </c>
      <c r="E266" s="26">
        <v>8.3849999999999998</v>
      </c>
      <c r="F266" s="71"/>
      <c r="G266" s="71"/>
      <c r="I266" s="46">
        <v>0.33539999999999998</v>
      </c>
      <c r="L266" s="26">
        <v>1</v>
      </c>
      <c r="M266" s="53">
        <v>25</v>
      </c>
      <c r="N266" s="57">
        <v>4</v>
      </c>
      <c r="P266" s="26">
        <v>1</v>
      </c>
      <c r="Q266" s="73" t="s">
        <v>139</v>
      </c>
      <c r="W266" s="69">
        <v>0.86</v>
      </c>
      <c r="X266" s="26">
        <v>9</v>
      </c>
      <c r="Y266" s="96">
        <v>2</v>
      </c>
      <c r="Z266" s="26"/>
      <c r="AA266" s="26"/>
      <c r="AB266" s="114"/>
      <c r="AC266" s="26"/>
      <c r="AD266" s="26"/>
      <c r="AE266" s="73" t="s">
        <v>139</v>
      </c>
      <c r="AF266" s="29"/>
      <c r="AG266" s="26"/>
      <c r="AH266" s="26"/>
      <c r="AI266" s="117"/>
      <c r="AJ266" s="26"/>
      <c r="AK266" s="26"/>
      <c r="AL266" s="26">
        <v>3</v>
      </c>
      <c r="AO266" s="26">
        <v>0</v>
      </c>
      <c r="AP266" s="26">
        <v>0</v>
      </c>
      <c r="AQ266" s="26">
        <v>1</v>
      </c>
      <c r="AR266" s="26" t="s">
        <v>217</v>
      </c>
      <c r="AU266" s="121">
        <v>0</v>
      </c>
      <c r="AV266" s="121"/>
      <c r="AY266" s="26" t="s">
        <v>220</v>
      </c>
    </row>
    <row r="267" spans="3:51">
      <c r="C267">
        <v>258</v>
      </c>
      <c r="D267" s="26">
        <v>76</v>
      </c>
      <c r="E267" s="26">
        <v>5.35</v>
      </c>
      <c r="F267" s="71"/>
      <c r="G267" s="71"/>
      <c r="I267" s="46">
        <v>9.5535714285714279E-2</v>
      </c>
      <c r="L267" s="26">
        <v>1</v>
      </c>
      <c r="M267" s="53">
        <v>56</v>
      </c>
      <c r="N267" s="57">
        <v>5</v>
      </c>
      <c r="P267" s="24">
        <v>0</v>
      </c>
      <c r="Q267" s="73" t="s">
        <v>140</v>
      </c>
      <c r="W267" s="69">
        <v>0</v>
      </c>
      <c r="X267" s="26"/>
      <c r="Y267" s="98">
        <v>2</v>
      </c>
      <c r="Z267" s="97">
        <v>0.7</v>
      </c>
      <c r="AA267" s="26"/>
      <c r="AB267" s="114"/>
      <c r="AC267" s="26"/>
      <c r="AD267" s="26"/>
      <c r="AE267" s="73" t="s">
        <v>140</v>
      </c>
      <c r="AF267" s="29"/>
      <c r="AG267" s="26"/>
      <c r="AH267" s="26"/>
      <c r="AI267" s="117"/>
      <c r="AJ267" s="26"/>
      <c r="AK267" s="26"/>
      <c r="AL267" s="26">
        <v>1</v>
      </c>
      <c r="AO267" s="26">
        <v>1</v>
      </c>
      <c r="AP267" s="26"/>
      <c r="AQ267" s="26">
        <v>0</v>
      </c>
      <c r="AR267" s="26"/>
      <c r="AU267" s="121">
        <v>0</v>
      </c>
      <c r="AV267" s="121"/>
      <c r="AY267" s="26">
        <v>2</v>
      </c>
    </row>
    <row r="268" spans="3:51">
      <c r="C268">
        <v>259</v>
      </c>
      <c r="D268" s="26">
        <v>73</v>
      </c>
      <c r="E268" s="26">
        <v>5.32</v>
      </c>
      <c r="F268" s="71"/>
      <c r="G268" s="71"/>
      <c r="I268" s="46">
        <v>0.112</v>
      </c>
      <c r="L268" s="26">
        <v>0</v>
      </c>
      <c r="M268" s="53">
        <v>47.5</v>
      </c>
      <c r="N268" s="57">
        <v>4</v>
      </c>
      <c r="P268" s="24">
        <v>0</v>
      </c>
      <c r="Q268" s="73"/>
      <c r="W268" s="69">
        <v>0</v>
      </c>
      <c r="X268" s="26"/>
      <c r="Y268" s="96">
        <v>3</v>
      </c>
      <c r="Z268" s="97">
        <v>0.65</v>
      </c>
      <c r="AA268" s="26"/>
      <c r="AB268" s="114"/>
      <c r="AC268" s="26"/>
      <c r="AD268" s="26"/>
      <c r="AE268" s="73"/>
      <c r="AF268" s="29"/>
      <c r="AG268" s="26"/>
      <c r="AH268" s="26"/>
      <c r="AI268" s="117"/>
      <c r="AJ268" s="26"/>
      <c r="AK268" s="26"/>
      <c r="AL268" s="26">
        <v>2</v>
      </c>
      <c r="AO268" s="26">
        <v>0</v>
      </c>
      <c r="AP268" s="26"/>
      <c r="AQ268" s="26">
        <v>1</v>
      </c>
      <c r="AR268" s="26" t="s">
        <v>140</v>
      </c>
      <c r="AU268" s="121">
        <v>0</v>
      </c>
      <c r="AV268" s="121"/>
      <c r="AY268" s="26" t="s">
        <v>220</v>
      </c>
    </row>
    <row r="269" spans="3:51">
      <c r="C269">
        <v>260</v>
      </c>
      <c r="D269" s="26">
        <v>77</v>
      </c>
      <c r="E269" s="26">
        <v>3.78</v>
      </c>
      <c r="F269" s="71"/>
      <c r="G269" s="71"/>
      <c r="I269" s="46">
        <v>0.1002652519893899</v>
      </c>
      <c r="L269" s="26">
        <v>1</v>
      </c>
      <c r="M269" s="53">
        <v>37.700000000000003</v>
      </c>
      <c r="N269" s="57">
        <v>5</v>
      </c>
      <c r="P269" s="24">
        <v>0</v>
      </c>
      <c r="Q269" s="73"/>
      <c r="W269" s="69">
        <v>0</v>
      </c>
      <c r="X269" s="26"/>
      <c r="Y269" s="96">
        <v>1</v>
      </c>
      <c r="Z269" s="97">
        <v>0.35</v>
      </c>
      <c r="AA269" s="26"/>
      <c r="AB269" s="114"/>
      <c r="AC269" s="26"/>
      <c r="AD269" s="26"/>
      <c r="AE269" s="73"/>
      <c r="AF269" s="29"/>
      <c r="AG269" s="26"/>
      <c r="AH269" s="26"/>
      <c r="AI269" s="117"/>
      <c r="AJ269" s="26"/>
      <c r="AK269" s="26"/>
      <c r="AL269" s="26">
        <v>1</v>
      </c>
      <c r="AO269" s="26">
        <v>0</v>
      </c>
      <c r="AP269" s="26"/>
      <c r="AQ269" s="26">
        <v>0</v>
      </c>
      <c r="AR269" s="26"/>
      <c r="AU269" s="121">
        <v>0</v>
      </c>
      <c r="AV269" s="121"/>
      <c r="AY269" s="26">
        <v>2</v>
      </c>
    </row>
    <row r="270" spans="3:51">
      <c r="C270">
        <v>261</v>
      </c>
      <c r="D270" s="26">
        <v>62</v>
      </c>
      <c r="E270" s="26">
        <v>7.48</v>
      </c>
      <c r="F270" s="71"/>
      <c r="G270" s="71"/>
      <c r="I270" s="46">
        <v>0.16260869565217392</v>
      </c>
      <c r="L270" s="26">
        <v>0</v>
      </c>
      <c r="M270" s="53">
        <v>46</v>
      </c>
      <c r="N270" s="57">
        <v>4</v>
      </c>
      <c r="P270" s="24">
        <v>0</v>
      </c>
      <c r="Q270" s="73" t="s">
        <v>144</v>
      </c>
      <c r="W270" s="69">
        <v>0</v>
      </c>
      <c r="X270" s="26">
        <v>31</v>
      </c>
      <c r="Y270" s="98">
        <v>3</v>
      </c>
      <c r="Z270" s="26"/>
      <c r="AA270" s="26">
        <v>4</v>
      </c>
      <c r="AB270" s="114"/>
      <c r="AC270" s="26"/>
      <c r="AD270" s="26"/>
      <c r="AE270" s="73" t="s">
        <v>144</v>
      </c>
      <c r="AF270" s="29"/>
      <c r="AG270" s="26"/>
      <c r="AH270" s="26"/>
      <c r="AI270" s="117"/>
      <c r="AJ270" s="26"/>
      <c r="AK270" s="26"/>
      <c r="AL270" s="26">
        <v>2</v>
      </c>
      <c r="AO270" s="26">
        <v>0</v>
      </c>
      <c r="AP270" s="26">
        <v>0</v>
      </c>
      <c r="AQ270" s="26">
        <v>1</v>
      </c>
      <c r="AR270" s="26" t="s">
        <v>139</v>
      </c>
      <c r="AU270" s="121">
        <v>0</v>
      </c>
      <c r="AV270" s="121"/>
      <c r="AY270" s="26">
        <v>2</v>
      </c>
    </row>
    <row r="271" spans="3:51">
      <c r="C271">
        <v>262</v>
      </c>
      <c r="D271" s="26">
        <v>65</v>
      </c>
      <c r="E271" s="26">
        <v>41</v>
      </c>
      <c r="F271" s="71"/>
      <c r="G271" s="71"/>
      <c r="I271" s="46">
        <v>1</v>
      </c>
      <c r="L271" s="26">
        <v>1</v>
      </c>
      <c r="M271" s="53">
        <v>41</v>
      </c>
      <c r="N271" s="57">
        <v>5</v>
      </c>
      <c r="P271" s="24">
        <v>0</v>
      </c>
      <c r="Q271" s="73" t="s">
        <v>139</v>
      </c>
      <c r="W271" s="69">
        <v>0</v>
      </c>
      <c r="X271" s="26">
        <v>22</v>
      </c>
      <c r="Y271" s="98">
        <v>1</v>
      </c>
      <c r="Z271" s="97">
        <v>1</v>
      </c>
      <c r="AA271" s="26"/>
      <c r="AB271" s="114"/>
      <c r="AC271" s="26"/>
      <c r="AD271" s="26"/>
      <c r="AE271" s="73" t="s">
        <v>139</v>
      </c>
      <c r="AF271" s="29"/>
      <c r="AG271" s="26"/>
      <c r="AH271" s="26"/>
      <c r="AI271" s="117"/>
      <c r="AJ271" s="26"/>
      <c r="AK271" s="26"/>
      <c r="AL271" s="26">
        <v>2</v>
      </c>
      <c r="AO271" s="26">
        <v>0</v>
      </c>
      <c r="AP271" s="26">
        <v>0</v>
      </c>
      <c r="AQ271" s="26">
        <v>1</v>
      </c>
      <c r="AR271" s="26" t="s">
        <v>139</v>
      </c>
      <c r="AU271" s="121">
        <v>0</v>
      </c>
      <c r="AV271" s="121"/>
      <c r="AY271" s="26" t="s">
        <v>220</v>
      </c>
    </row>
    <row r="272" spans="3:51">
      <c r="C272">
        <v>263</v>
      </c>
      <c r="D272" s="26">
        <v>63</v>
      </c>
      <c r="E272" s="26">
        <v>5</v>
      </c>
      <c r="F272" s="71"/>
      <c r="G272" s="71"/>
      <c r="I272" s="46">
        <v>0.22727272727272727</v>
      </c>
      <c r="L272" s="26">
        <v>0</v>
      </c>
      <c r="M272" s="53">
        <v>22</v>
      </c>
      <c r="N272" s="57">
        <v>3</v>
      </c>
      <c r="P272" s="24">
        <v>0</v>
      </c>
      <c r="Q272" s="73" t="s">
        <v>140</v>
      </c>
      <c r="W272" s="69">
        <v>0</v>
      </c>
      <c r="X272" s="26"/>
      <c r="Y272" s="98">
        <v>1</v>
      </c>
      <c r="Z272" s="26"/>
      <c r="AA272" s="26"/>
      <c r="AB272" s="114"/>
      <c r="AC272" s="26"/>
      <c r="AD272" s="26"/>
      <c r="AE272" s="73" t="s">
        <v>140</v>
      </c>
      <c r="AF272" s="29"/>
      <c r="AG272" s="26"/>
      <c r="AH272" s="26"/>
      <c r="AI272" s="117"/>
      <c r="AJ272" s="26"/>
      <c r="AK272" s="26"/>
      <c r="AL272" s="26">
        <v>1</v>
      </c>
      <c r="AO272" s="26">
        <v>1</v>
      </c>
      <c r="AP272" s="26"/>
      <c r="AQ272" s="26">
        <v>0</v>
      </c>
      <c r="AR272" s="26"/>
      <c r="AU272" s="121"/>
      <c r="AV272" s="121">
        <v>0</v>
      </c>
      <c r="AY272" s="26">
        <v>2</v>
      </c>
    </row>
    <row r="273" spans="3:51">
      <c r="C273">
        <v>264</v>
      </c>
      <c r="D273" s="26">
        <v>59</v>
      </c>
      <c r="E273" s="26">
        <v>13</v>
      </c>
      <c r="F273" s="71"/>
      <c r="G273" s="71"/>
      <c r="I273" s="46">
        <v>0.52</v>
      </c>
      <c r="L273" s="26">
        <v>0</v>
      </c>
      <c r="M273" s="53">
        <v>25</v>
      </c>
      <c r="N273" s="57">
        <v>5</v>
      </c>
      <c r="P273" s="24">
        <v>0</v>
      </c>
      <c r="Q273" s="73" t="s">
        <v>144</v>
      </c>
      <c r="W273" s="69">
        <v>0</v>
      </c>
      <c r="X273" s="26">
        <v>23</v>
      </c>
      <c r="Y273" s="98">
        <v>5</v>
      </c>
      <c r="Z273" s="26"/>
      <c r="AA273" s="26">
        <v>5</v>
      </c>
      <c r="AB273" s="114"/>
      <c r="AC273" s="26"/>
      <c r="AD273" s="26"/>
      <c r="AE273" s="73" t="s">
        <v>144</v>
      </c>
      <c r="AF273" s="29"/>
      <c r="AG273" s="26"/>
      <c r="AH273" s="26"/>
      <c r="AI273" s="117"/>
      <c r="AJ273" s="26"/>
      <c r="AK273" s="26"/>
      <c r="AL273" s="26">
        <v>2</v>
      </c>
      <c r="AO273" s="26">
        <v>1</v>
      </c>
      <c r="AP273" s="26">
        <v>0</v>
      </c>
      <c r="AQ273" s="26">
        <v>1</v>
      </c>
      <c r="AR273" s="26" t="s">
        <v>217</v>
      </c>
      <c r="AU273" s="121">
        <v>1</v>
      </c>
      <c r="AV273" s="121" t="s">
        <v>139</v>
      </c>
      <c r="AY273" s="26" t="s">
        <v>221</v>
      </c>
    </row>
    <row r="274" spans="3:51">
      <c r="C274">
        <v>265</v>
      </c>
      <c r="D274" s="26">
        <v>73</v>
      </c>
      <c r="E274" s="26">
        <v>12</v>
      </c>
      <c r="F274" s="71"/>
      <c r="G274" s="71"/>
      <c r="I274" s="46">
        <v>0.3</v>
      </c>
      <c r="L274" s="26">
        <v>1</v>
      </c>
      <c r="M274" s="53">
        <v>40</v>
      </c>
      <c r="N274" s="57">
        <v>4</v>
      </c>
      <c r="P274" s="24">
        <v>0</v>
      </c>
      <c r="Q274" s="73"/>
      <c r="W274" s="69">
        <v>0</v>
      </c>
      <c r="X274" s="26"/>
      <c r="Y274" s="96">
        <v>1</v>
      </c>
      <c r="Z274" s="26"/>
      <c r="AA274" s="26"/>
      <c r="AB274" s="114"/>
      <c r="AC274" s="26"/>
      <c r="AD274" s="26"/>
      <c r="AE274" s="73"/>
      <c r="AF274" s="29"/>
      <c r="AG274" s="26"/>
      <c r="AH274" s="26"/>
      <c r="AI274" s="117"/>
      <c r="AJ274" s="26"/>
      <c r="AK274" s="26"/>
      <c r="AL274" s="26">
        <v>2</v>
      </c>
      <c r="AO274" s="26">
        <v>0</v>
      </c>
      <c r="AP274" s="26"/>
      <c r="AQ274" s="26">
        <v>1</v>
      </c>
      <c r="AR274" s="26"/>
      <c r="AU274" s="121">
        <v>1</v>
      </c>
      <c r="AV274" s="121" t="s">
        <v>140</v>
      </c>
      <c r="AY274" s="26" t="s">
        <v>221</v>
      </c>
    </row>
    <row r="275" spans="3:51">
      <c r="C275">
        <v>266</v>
      </c>
      <c r="D275" s="26">
        <v>76</v>
      </c>
      <c r="E275" s="26">
        <v>10.199999999999999</v>
      </c>
      <c r="F275" s="71"/>
      <c r="G275" s="71"/>
      <c r="I275" s="46">
        <v>0.37777777777777777</v>
      </c>
      <c r="L275" s="26">
        <v>0</v>
      </c>
      <c r="M275" s="53">
        <v>27</v>
      </c>
      <c r="N275" s="57">
        <v>5</v>
      </c>
      <c r="P275" s="24">
        <v>0</v>
      </c>
      <c r="Q275" s="73" t="s">
        <v>144</v>
      </c>
      <c r="W275" s="69">
        <v>0</v>
      </c>
      <c r="X275" s="26">
        <v>16</v>
      </c>
      <c r="Y275" s="98">
        <v>1</v>
      </c>
      <c r="Z275" s="97">
        <v>0.17</v>
      </c>
      <c r="AA275" s="26"/>
      <c r="AB275" s="114"/>
      <c r="AC275" s="26"/>
      <c r="AD275" s="26"/>
      <c r="AE275" s="73" t="s">
        <v>144</v>
      </c>
      <c r="AF275" s="29"/>
      <c r="AG275" s="26"/>
      <c r="AH275" s="26"/>
      <c r="AI275" s="117"/>
      <c r="AJ275" s="26"/>
      <c r="AK275" s="26"/>
      <c r="AL275" s="26">
        <v>2</v>
      </c>
      <c r="AO275" s="26">
        <v>1</v>
      </c>
      <c r="AP275" s="26"/>
      <c r="AQ275" s="26">
        <v>0</v>
      </c>
      <c r="AR275" s="26"/>
      <c r="AU275" s="121">
        <v>0</v>
      </c>
      <c r="AV275" s="121"/>
      <c r="AY275" s="26">
        <v>2</v>
      </c>
    </row>
    <row r="276" spans="3:51">
      <c r="C276">
        <v>267</v>
      </c>
      <c r="D276" s="26">
        <v>47</v>
      </c>
      <c r="E276" s="26">
        <v>18.8</v>
      </c>
      <c r="F276" s="71"/>
      <c r="G276" s="71"/>
      <c r="I276" s="46">
        <v>0.6811594202898551</v>
      </c>
      <c r="L276" s="26">
        <v>0</v>
      </c>
      <c r="M276" s="53">
        <v>27.6</v>
      </c>
      <c r="N276" s="57">
        <v>2</v>
      </c>
      <c r="P276" s="24">
        <v>0</v>
      </c>
      <c r="Q276" s="73" t="s">
        <v>140</v>
      </c>
      <c r="W276" s="69">
        <v>0.72</v>
      </c>
      <c r="X276" s="26"/>
      <c r="Y276" s="98">
        <v>1</v>
      </c>
      <c r="Z276" s="97">
        <v>0.01</v>
      </c>
      <c r="AA276" s="26"/>
      <c r="AB276" s="114"/>
      <c r="AC276" s="26"/>
      <c r="AD276" s="26"/>
      <c r="AE276" s="73" t="s">
        <v>140</v>
      </c>
      <c r="AF276" s="29"/>
      <c r="AG276" s="26"/>
      <c r="AH276" s="26"/>
      <c r="AI276" s="117"/>
      <c r="AJ276" s="26"/>
      <c r="AK276" s="26"/>
      <c r="AL276" s="26">
        <v>1</v>
      </c>
      <c r="AO276" s="26">
        <v>0</v>
      </c>
      <c r="AP276" s="26"/>
      <c r="AQ276" s="26">
        <v>0</v>
      </c>
      <c r="AR276" s="26"/>
      <c r="AU276" s="121">
        <v>0</v>
      </c>
      <c r="AV276" s="121"/>
      <c r="AY276" s="26">
        <v>2</v>
      </c>
    </row>
    <row r="277" spans="3:51">
      <c r="C277">
        <v>268</v>
      </c>
      <c r="D277" s="26">
        <v>72</v>
      </c>
      <c r="E277" s="26">
        <v>11.6</v>
      </c>
      <c r="F277" s="71"/>
      <c r="G277" s="71"/>
      <c r="I277" s="46">
        <v>0.1657142857142857</v>
      </c>
      <c r="L277" s="26">
        <v>0</v>
      </c>
      <c r="M277" s="53">
        <v>70</v>
      </c>
      <c r="N277" s="57">
        <v>3</v>
      </c>
      <c r="P277" s="24">
        <v>0</v>
      </c>
      <c r="Q277" s="73" t="s">
        <v>140</v>
      </c>
      <c r="W277" s="69">
        <v>3.33</v>
      </c>
      <c r="X277" s="26">
        <v>35</v>
      </c>
      <c r="Y277" s="96">
        <v>1</v>
      </c>
      <c r="Z277" s="97">
        <v>0.16</v>
      </c>
      <c r="AA277" s="26" t="s">
        <v>192</v>
      </c>
      <c r="AB277" s="114"/>
      <c r="AC277" s="26"/>
      <c r="AD277" s="26"/>
      <c r="AE277" s="73" t="s">
        <v>140</v>
      </c>
      <c r="AF277" s="29"/>
      <c r="AG277" s="26"/>
      <c r="AH277" s="26"/>
      <c r="AI277" s="117"/>
      <c r="AJ277" s="26"/>
      <c r="AK277" s="26"/>
      <c r="AL277" s="26">
        <v>1</v>
      </c>
      <c r="AO277" s="26">
        <v>0</v>
      </c>
      <c r="AP277" s="26">
        <v>0</v>
      </c>
      <c r="AQ277" s="26">
        <v>0</v>
      </c>
      <c r="AR277" s="26"/>
      <c r="AU277" s="121">
        <v>0</v>
      </c>
      <c r="AV277" s="121"/>
      <c r="AY277" s="26">
        <v>2</v>
      </c>
    </row>
    <row r="278" spans="3:51">
      <c r="C278">
        <v>269</v>
      </c>
      <c r="D278" s="26">
        <v>59</v>
      </c>
      <c r="E278" s="26">
        <v>6.88</v>
      </c>
      <c r="F278" s="71"/>
      <c r="G278" s="71"/>
      <c r="I278" s="46">
        <v>0.20476190476190476</v>
      </c>
      <c r="L278" s="26">
        <v>0</v>
      </c>
      <c r="M278" s="53">
        <v>33.6</v>
      </c>
      <c r="N278" s="57">
        <v>4</v>
      </c>
      <c r="P278" s="24">
        <v>0</v>
      </c>
      <c r="Q278" s="73"/>
      <c r="W278" s="69">
        <v>0</v>
      </c>
      <c r="X278" s="26"/>
      <c r="Y278" s="98">
        <v>3</v>
      </c>
      <c r="Z278" s="97">
        <v>0.05</v>
      </c>
      <c r="AA278" s="26"/>
      <c r="AB278" s="114"/>
      <c r="AC278" s="26"/>
      <c r="AD278" s="26"/>
      <c r="AE278" s="73"/>
      <c r="AF278" s="29"/>
      <c r="AG278" s="26"/>
      <c r="AH278" s="26"/>
      <c r="AI278" s="117"/>
      <c r="AJ278" s="26"/>
      <c r="AK278" s="26"/>
      <c r="AL278" s="26">
        <v>1</v>
      </c>
      <c r="AO278" s="26">
        <v>1</v>
      </c>
      <c r="AP278" s="26"/>
      <c r="AQ278" s="26">
        <v>0</v>
      </c>
      <c r="AR278" s="26"/>
      <c r="AU278" s="121">
        <v>0</v>
      </c>
      <c r="AV278" s="121"/>
      <c r="AY278" s="26">
        <v>2</v>
      </c>
    </row>
    <row r="279" spans="3:51">
      <c r="C279">
        <v>270</v>
      </c>
      <c r="D279" s="26">
        <v>80</v>
      </c>
      <c r="E279" s="26">
        <v>6</v>
      </c>
      <c r="F279" s="71"/>
      <c r="G279" s="71"/>
      <c r="I279" s="46">
        <v>0.10344827586206896</v>
      </c>
      <c r="L279" s="26">
        <v>1</v>
      </c>
      <c r="M279" s="53">
        <v>58</v>
      </c>
      <c r="N279" s="57">
        <v>2</v>
      </c>
      <c r="P279" s="24">
        <v>0</v>
      </c>
      <c r="Q279" s="73"/>
      <c r="W279" s="69">
        <v>0</v>
      </c>
      <c r="X279" s="26"/>
      <c r="Y279" s="96">
        <v>2</v>
      </c>
      <c r="Z279" s="97">
        <v>0.2</v>
      </c>
      <c r="AA279" s="26"/>
      <c r="AB279" s="114"/>
      <c r="AC279" s="26"/>
      <c r="AD279" s="26"/>
      <c r="AE279" s="73"/>
      <c r="AF279" s="29"/>
      <c r="AG279" s="26"/>
      <c r="AH279" s="26"/>
      <c r="AI279" s="117"/>
      <c r="AJ279" s="26"/>
      <c r="AK279" s="26"/>
      <c r="AL279" s="26">
        <v>2</v>
      </c>
      <c r="AO279" s="26">
        <v>1</v>
      </c>
      <c r="AP279" s="26"/>
      <c r="AQ279" s="26">
        <v>1</v>
      </c>
      <c r="AR279" s="26" t="s">
        <v>140</v>
      </c>
      <c r="AU279" s="121">
        <v>0</v>
      </c>
      <c r="AV279" s="121"/>
      <c r="AY279" s="26" t="s">
        <v>220</v>
      </c>
    </row>
    <row r="280" spans="3:51">
      <c r="C280">
        <v>271</v>
      </c>
      <c r="D280" s="26">
        <v>73</v>
      </c>
      <c r="E280" s="26">
        <v>4.9000000000000004</v>
      </c>
      <c r="F280" s="71"/>
      <c r="G280" s="71"/>
      <c r="I280" s="46">
        <v>0.22272727272727275</v>
      </c>
      <c r="L280" s="26">
        <v>0</v>
      </c>
      <c r="M280" s="53">
        <v>22</v>
      </c>
      <c r="N280" s="57">
        <v>4</v>
      </c>
      <c r="P280" s="24">
        <v>0</v>
      </c>
      <c r="Q280" s="73"/>
      <c r="W280" s="69">
        <v>0</v>
      </c>
      <c r="X280" s="26"/>
      <c r="Y280" s="96">
        <v>1</v>
      </c>
      <c r="Z280" s="97">
        <v>0.7</v>
      </c>
      <c r="AA280" s="26"/>
      <c r="AB280" s="114"/>
      <c r="AC280" s="26"/>
      <c r="AD280" s="26"/>
      <c r="AE280" s="73"/>
      <c r="AF280" s="29"/>
      <c r="AG280" s="26"/>
      <c r="AH280" s="26"/>
      <c r="AI280" s="117"/>
      <c r="AJ280" s="26"/>
      <c r="AK280" s="26"/>
      <c r="AL280" s="26">
        <v>2</v>
      </c>
      <c r="AO280" s="26">
        <v>0</v>
      </c>
      <c r="AP280" s="26">
        <v>0</v>
      </c>
      <c r="AQ280" s="26">
        <v>0</v>
      </c>
      <c r="AR280" s="26"/>
      <c r="AU280" s="121">
        <v>0</v>
      </c>
      <c r="AV280" s="121"/>
      <c r="AY280" s="26">
        <v>2</v>
      </c>
    </row>
    <row r="281" spans="3:51">
      <c r="C281">
        <v>272</v>
      </c>
      <c r="D281" s="26">
        <v>69</v>
      </c>
      <c r="E281" s="26">
        <v>6.68</v>
      </c>
      <c r="F281" s="71"/>
      <c r="G281" s="71"/>
      <c r="I281" s="46">
        <v>0.23857142857142857</v>
      </c>
      <c r="L281" s="26">
        <v>0</v>
      </c>
      <c r="M281" s="53">
        <v>28</v>
      </c>
      <c r="N281" s="57">
        <v>4</v>
      </c>
      <c r="P281" s="24">
        <v>0</v>
      </c>
      <c r="Q281" s="73" t="s">
        <v>140</v>
      </c>
      <c r="W281" s="69">
        <v>1.21</v>
      </c>
      <c r="X281" s="26">
        <v>13</v>
      </c>
      <c r="Y281" s="98">
        <v>3</v>
      </c>
      <c r="Z281" s="26"/>
      <c r="AA281" s="26">
        <v>2</v>
      </c>
      <c r="AB281" s="114"/>
      <c r="AC281" s="26"/>
      <c r="AD281" s="26"/>
      <c r="AE281" s="73" t="s">
        <v>140</v>
      </c>
      <c r="AF281" s="29"/>
      <c r="AG281" s="26"/>
      <c r="AH281" s="26"/>
      <c r="AI281" s="117"/>
      <c r="AJ281" s="26"/>
      <c r="AK281" s="26"/>
      <c r="AL281" s="26">
        <v>2</v>
      </c>
      <c r="AO281" s="26">
        <v>1</v>
      </c>
      <c r="AP281" s="26"/>
      <c r="AQ281" s="26">
        <v>1</v>
      </c>
      <c r="AR281" s="26" t="s">
        <v>140</v>
      </c>
      <c r="AU281" s="121">
        <v>1</v>
      </c>
      <c r="AV281" s="121" t="s">
        <v>140</v>
      </c>
      <c r="AY281" s="26" t="s">
        <v>221</v>
      </c>
    </row>
    <row r="282" spans="3:51">
      <c r="C282">
        <v>273</v>
      </c>
      <c r="D282" s="26">
        <v>72</v>
      </c>
      <c r="E282" s="26">
        <v>10</v>
      </c>
      <c r="F282" s="71"/>
      <c r="G282" s="71"/>
      <c r="I282" s="46">
        <v>0.19607843137254902</v>
      </c>
      <c r="L282" s="26">
        <v>1</v>
      </c>
      <c r="M282" s="53">
        <v>51</v>
      </c>
      <c r="N282" s="57">
        <v>4</v>
      </c>
      <c r="P282" s="24">
        <v>0</v>
      </c>
      <c r="Q282" s="73" t="s">
        <v>140</v>
      </c>
      <c r="W282" s="69">
        <v>0</v>
      </c>
      <c r="X282" s="26">
        <v>6</v>
      </c>
      <c r="Y282" s="96">
        <v>2</v>
      </c>
      <c r="Z282" s="26"/>
      <c r="AA282" s="26">
        <v>9</v>
      </c>
      <c r="AB282" s="114"/>
      <c r="AC282" s="26"/>
      <c r="AD282" s="26"/>
      <c r="AE282" s="73" t="s">
        <v>140</v>
      </c>
      <c r="AF282" s="29"/>
      <c r="AG282" s="26"/>
      <c r="AH282" s="26"/>
      <c r="AI282" s="117"/>
      <c r="AJ282" s="26"/>
      <c r="AK282" s="26"/>
      <c r="AL282" s="26">
        <v>2</v>
      </c>
      <c r="AO282" s="26">
        <v>0</v>
      </c>
      <c r="AP282" s="26"/>
      <c r="AQ282" s="26">
        <v>0</v>
      </c>
      <c r="AR282" s="26"/>
      <c r="AU282" s="121">
        <v>0</v>
      </c>
      <c r="AV282" s="121"/>
      <c r="AY282" s="26">
        <v>2</v>
      </c>
    </row>
    <row r="283" spans="3:51">
      <c r="C283">
        <v>274</v>
      </c>
      <c r="D283" s="26">
        <v>70</v>
      </c>
      <c r="E283" s="26">
        <v>7.41</v>
      </c>
      <c r="F283" s="71"/>
      <c r="G283" s="71"/>
      <c r="I283" s="46">
        <v>0.15437500000000001</v>
      </c>
      <c r="L283" s="26">
        <v>1</v>
      </c>
      <c r="M283" s="53">
        <v>48</v>
      </c>
      <c r="N283" s="57">
        <v>5</v>
      </c>
      <c r="P283" s="24">
        <v>0</v>
      </c>
      <c r="Q283" s="73" t="s">
        <v>140</v>
      </c>
      <c r="W283" s="69">
        <v>2.79</v>
      </c>
      <c r="X283" s="26"/>
      <c r="Y283" s="98">
        <v>1</v>
      </c>
      <c r="Z283" s="97">
        <v>1</v>
      </c>
      <c r="AA283" s="26"/>
      <c r="AB283" s="114"/>
      <c r="AC283" s="26"/>
      <c r="AD283" s="26"/>
      <c r="AE283" s="73" t="s">
        <v>140</v>
      </c>
      <c r="AF283" s="29"/>
      <c r="AG283" s="26"/>
      <c r="AH283" s="26"/>
      <c r="AI283" s="117"/>
      <c r="AJ283" s="26"/>
      <c r="AK283" s="26"/>
      <c r="AL283" s="26">
        <v>2</v>
      </c>
      <c r="AO283" s="26">
        <v>0</v>
      </c>
      <c r="AP283" s="26">
        <v>0</v>
      </c>
      <c r="AQ283" s="26">
        <v>0</v>
      </c>
      <c r="AR283" s="26"/>
      <c r="AU283" s="121">
        <v>0</v>
      </c>
      <c r="AV283" s="121"/>
      <c r="AY283" s="26">
        <v>2</v>
      </c>
    </row>
    <row r="284" spans="3:51">
      <c r="C284">
        <v>275</v>
      </c>
      <c r="D284" s="26">
        <v>67</v>
      </c>
      <c r="E284" s="44">
        <v>6.56</v>
      </c>
      <c r="F284" s="142"/>
      <c r="G284" s="142"/>
      <c r="I284" s="46">
        <v>0.18742857142857142</v>
      </c>
      <c r="L284" s="44">
        <v>0</v>
      </c>
      <c r="M284" s="59">
        <v>35</v>
      </c>
      <c r="N284" s="41">
        <v>4</v>
      </c>
      <c r="P284" s="24">
        <v>0</v>
      </c>
      <c r="Q284" s="74" t="s">
        <v>139</v>
      </c>
      <c r="W284" s="69">
        <v>0</v>
      </c>
      <c r="X284" s="26">
        <v>13</v>
      </c>
      <c r="Y284" s="98">
        <v>2</v>
      </c>
      <c r="Z284" s="26"/>
      <c r="AA284" s="26"/>
      <c r="AB284" s="114"/>
      <c r="AC284" s="26"/>
      <c r="AD284" s="26"/>
      <c r="AE284" s="74" t="s">
        <v>139</v>
      </c>
      <c r="AF284" s="29"/>
      <c r="AG284" s="26"/>
      <c r="AH284" s="26"/>
      <c r="AI284" s="117"/>
      <c r="AJ284" s="26"/>
      <c r="AK284" s="26"/>
      <c r="AL284" s="26">
        <v>2</v>
      </c>
      <c r="AO284" s="26">
        <v>0</v>
      </c>
      <c r="AP284" s="26"/>
      <c r="AQ284" s="26">
        <v>0</v>
      </c>
      <c r="AR284" s="26"/>
      <c r="AU284" s="121">
        <v>0</v>
      </c>
      <c r="AV284" s="121"/>
      <c r="AY284" s="26">
        <v>2</v>
      </c>
    </row>
    <row r="285" spans="3:51">
      <c r="C285">
        <v>276</v>
      </c>
      <c r="D285" s="26">
        <v>72</v>
      </c>
      <c r="E285" s="44">
        <v>10.1</v>
      </c>
      <c r="F285" s="142"/>
      <c r="G285" s="142"/>
      <c r="I285" s="46">
        <v>0.1980392156862745</v>
      </c>
      <c r="L285" s="44">
        <v>1</v>
      </c>
      <c r="M285" s="59">
        <v>51</v>
      </c>
      <c r="N285" s="41">
        <v>5</v>
      </c>
      <c r="P285" s="24">
        <v>0</v>
      </c>
      <c r="Q285" s="74" t="s">
        <v>139</v>
      </c>
      <c r="W285" s="69">
        <v>0.21</v>
      </c>
      <c r="X285" s="26"/>
      <c r="Y285" s="96">
        <v>4</v>
      </c>
      <c r="Z285" s="26"/>
      <c r="AA285" s="26">
        <v>1</v>
      </c>
      <c r="AB285" s="114"/>
      <c r="AC285" s="26"/>
      <c r="AD285" s="26"/>
      <c r="AE285" s="74" t="s">
        <v>139</v>
      </c>
      <c r="AF285" s="29"/>
      <c r="AG285" s="26"/>
      <c r="AH285" s="26"/>
      <c r="AI285" s="117"/>
      <c r="AJ285" s="26"/>
      <c r="AK285" s="26"/>
      <c r="AL285" s="26">
        <v>2</v>
      </c>
      <c r="AO285" s="26">
        <v>0</v>
      </c>
      <c r="AP285" s="26">
        <v>0</v>
      </c>
      <c r="AQ285" s="26">
        <v>0</v>
      </c>
      <c r="AR285" s="26"/>
      <c r="AU285" s="121">
        <v>0</v>
      </c>
      <c r="AV285" s="121"/>
      <c r="AY285" s="26">
        <v>2</v>
      </c>
    </row>
    <row r="286" spans="3:51">
      <c r="C286">
        <v>277</v>
      </c>
      <c r="D286" s="26">
        <v>73</v>
      </c>
      <c r="E286" s="44">
        <v>12</v>
      </c>
      <c r="F286" s="142"/>
      <c r="G286" s="142"/>
      <c r="I286" s="46">
        <v>0.48</v>
      </c>
      <c r="L286" s="44">
        <v>0</v>
      </c>
      <c r="M286" s="59">
        <v>25</v>
      </c>
      <c r="N286" s="41">
        <v>4</v>
      </c>
      <c r="P286" s="24">
        <v>0</v>
      </c>
      <c r="Q286" s="74" t="s">
        <v>140</v>
      </c>
      <c r="W286" s="69">
        <v>0.06</v>
      </c>
      <c r="X286" s="26">
        <v>5</v>
      </c>
      <c r="Y286" s="98">
        <v>2</v>
      </c>
      <c r="Z286" s="26"/>
      <c r="AA286" s="26">
        <v>6</v>
      </c>
      <c r="AB286" s="114"/>
      <c r="AC286" s="26"/>
      <c r="AD286" s="26"/>
      <c r="AE286" s="74" t="s">
        <v>140</v>
      </c>
      <c r="AF286" s="29"/>
      <c r="AG286" s="26"/>
      <c r="AH286" s="26"/>
      <c r="AI286" s="117"/>
      <c r="AJ286" s="26"/>
      <c r="AK286" s="26"/>
      <c r="AL286" s="26">
        <v>2</v>
      </c>
      <c r="AO286" s="26">
        <v>1</v>
      </c>
      <c r="AP286" s="26"/>
      <c r="AQ286" s="26">
        <v>0</v>
      </c>
      <c r="AR286" s="26"/>
      <c r="AU286" s="121">
        <v>0</v>
      </c>
      <c r="AV286" s="121"/>
      <c r="AY286" s="26">
        <v>2</v>
      </c>
    </row>
    <row r="287" spans="3:51">
      <c r="C287">
        <v>278</v>
      </c>
      <c r="D287" s="26">
        <v>68</v>
      </c>
      <c r="E287" s="26">
        <v>6.5</v>
      </c>
      <c r="F287" s="71"/>
      <c r="G287" s="71"/>
      <c r="I287" s="46">
        <v>0.11016949152542373</v>
      </c>
      <c r="L287" s="26">
        <v>0</v>
      </c>
      <c r="M287" s="53">
        <v>59</v>
      </c>
      <c r="N287" s="57">
        <v>4</v>
      </c>
      <c r="P287" s="24">
        <v>0</v>
      </c>
      <c r="Q287" s="73" t="s">
        <v>140</v>
      </c>
      <c r="W287" s="69">
        <v>0</v>
      </c>
      <c r="X287" s="26">
        <v>8</v>
      </c>
      <c r="Y287" s="96">
        <v>1</v>
      </c>
      <c r="Z287" s="26"/>
      <c r="AA287" s="26"/>
      <c r="AB287" s="114"/>
      <c r="AC287" s="26"/>
      <c r="AD287" s="26"/>
      <c r="AE287" s="73" t="s">
        <v>140</v>
      </c>
      <c r="AF287" s="29"/>
      <c r="AG287" s="26"/>
      <c r="AH287" s="26"/>
      <c r="AI287" s="117"/>
      <c r="AJ287" s="26"/>
      <c r="AK287" s="26"/>
      <c r="AL287" s="26">
        <v>1</v>
      </c>
      <c r="AO287" s="26">
        <v>0</v>
      </c>
      <c r="AP287" s="26"/>
      <c r="AQ287" s="26">
        <v>0</v>
      </c>
      <c r="AR287" s="26"/>
      <c r="AU287" s="121">
        <v>0</v>
      </c>
      <c r="AV287" s="121"/>
      <c r="AY287" s="26">
        <v>2</v>
      </c>
    </row>
    <row r="288" spans="3:51">
      <c r="C288">
        <v>279</v>
      </c>
      <c r="D288" s="26">
        <v>69</v>
      </c>
      <c r="E288" s="44">
        <v>7.7</v>
      </c>
      <c r="F288" s="142"/>
      <c r="G288" s="142"/>
      <c r="I288" s="46">
        <v>0.28518518518518521</v>
      </c>
      <c r="L288" s="44">
        <v>0</v>
      </c>
      <c r="M288" s="59">
        <v>27</v>
      </c>
      <c r="N288" s="41">
        <v>4</v>
      </c>
      <c r="P288" s="26"/>
      <c r="Q288" s="74"/>
      <c r="W288" s="69">
        <v>0</v>
      </c>
      <c r="X288" s="26"/>
      <c r="Y288" s="98">
        <v>3</v>
      </c>
      <c r="Z288" s="26"/>
      <c r="AA288" s="26"/>
      <c r="AB288" s="114"/>
      <c r="AC288" s="26"/>
      <c r="AD288" s="26"/>
      <c r="AE288" s="74"/>
      <c r="AF288" s="29"/>
      <c r="AG288" s="26"/>
      <c r="AH288" s="26"/>
      <c r="AI288" s="117"/>
      <c r="AJ288" s="26"/>
      <c r="AK288" s="26"/>
      <c r="AL288" s="26">
        <v>1</v>
      </c>
      <c r="AO288" s="26">
        <v>0</v>
      </c>
      <c r="AP288" s="26"/>
      <c r="AQ288" s="26">
        <v>0</v>
      </c>
      <c r="AR288" s="26"/>
      <c r="AU288" s="121">
        <v>0</v>
      </c>
      <c r="AV288" s="121"/>
      <c r="AY288" s="26">
        <v>2</v>
      </c>
    </row>
    <row r="289" spans="3:51">
      <c r="C289">
        <v>280</v>
      </c>
      <c r="D289" s="26">
        <v>64</v>
      </c>
      <c r="E289" s="44">
        <v>1.05</v>
      </c>
      <c r="F289" s="142"/>
      <c r="G289" s="142"/>
      <c r="I289" s="46">
        <v>2.837837837837838E-2</v>
      </c>
      <c r="L289" s="44">
        <v>0</v>
      </c>
      <c r="M289" s="59">
        <v>37</v>
      </c>
      <c r="N289" s="41"/>
      <c r="P289" s="24">
        <v>0</v>
      </c>
      <c r="Q289" s="74"/>
      <c r="W289" s="69">
        <v>2.48</v>
      </c>
      <c r="X289" s="26"/>
      <c r="Y289" s="96">
        <v>2</v>
      </c>
      <c r="Z289" s="26"/>
      <c r="AA289" s="26"/>
      <c r="AB289" s="114"/>
      <c r="AC289" s="26"/>
      <c r="AD289" s="26"/>
      <c r="AE289" s="74"/>
      <c r="AF289" s="29"/>
      <c r="AG289" s="26"/>
      <c r="AH289" s="26"/>
      <c r="AI289" s="117"/>
      <c r="AJ289" s="26"/>
      <c r="AK289" s="26"/>
      <c r="AL289" s="26">
        <v>2</v>
      </c>
      <c r="AO289" s="26">
        <v>1</v>
      </c>
      <c r="AP289" s="26"/>
      <c r="AQ289" s="26">
        <v>0</v>
      </c>
      <c r="AR289" s="26"/>
      <c r="AU289" s="121">
        <v>0</v>
      </c>
      <c r="AV289" s="121"/>
      <c r="AY289" s="26">
        <v>2</v>
      </c>
    </row>
    <row r="290" spans="3:51">
      <c r="C290">
        <v>281</v>
      </c>
      <c r="D290" s="26">
        <v>71</v>
      </c>
      <c r="E290" s="44">
        <v>21.35</v>
      </c>
      <c r="F290" s="142"/>
      <c r="G290" s="142"/>
      <c r="I290" s="46">
        <v>0.29246575342465753</v>
      </c>
      <c r="L290" s="44">
        <v>0</v>
      </c>
      <c r="M290" s="59">
        <v>73</v>
      </c>
      <c r="N290" s="41">
        <v>3</v>
      </c>
      <c r="P290" s="26"/>
      <c r="Q290" s="74" t="s">
        <v>140</v>
      </c>
      <c r="W290" s="69">
        <v>0</v>
      </c>
      <c r="X290" s="26"/>
      <c r="Y290" s="98">
        <v>1</v>
      </c>
      <c r="Z290" s="97">
        <v>0.15</v>
      </c>
      <c r="AA290" s="26"/>
      <c r="AB290" s="114"/>
      <c r="AC290" s="26"/>
      <c r="AD290" s="26"/>
      <c r="AE290" s="74" t="s">
        <v>140</v>
      </c>
      <c r="AF290" s="29"/>
      <c r="AG290" s="26"/>
      <c r="AH290" s="26"/>
      <c r="AI290" s="117"/>
      <c r="AJ290" s="26"/>
      <c r="AK290" s="26"/>
      <c r="AL290" s="26">
        <v>2</v>
      </c>
      <c r="AO290" s="26">
        <v>0</v>
      </c>
      <c r="AP290" s="26">
        <v>1</v>
      </c>
      <c r="AQ290" s="26">
        <v>0</v>
      </c>
      <c r="AR290" s="26"/>
      <c r="AU290" s="121">
        <v>0</v>
      </c>
      <c r="AV290" s="121"/>
      <c r="AY290" s="26">
        <v>2</v>
      </c>
    </row>
    <row r="291" spans="3:51">
      <c r="C291">
        <v>282</v>
      </c>
      <c r="D291" s="26">
        <v>76</v>
      </c>
      <c r="E291" s="44">
        <v>5.6</v>
      </c>
      <c r="F291" s="142"/>
      <c r="G291" s="142"/>
      <c r="I291" s="46">
        <v>3.888888888888889E-2</v>
      </c>
      <c r="L291" s="44">
        <v>0</v>
      </c>
      <c r="M291" s="59">
        <v>144</v>
      </c>
      <c r="N291" s="41">
        <v>5</v>
      </c>
      <c r="P291" s="24">
        <v>0</v>
      </c>
      <c r="Q291" s="74" t="s">
        <v>139</v>
      </c>
      <c r="W291" s="69">
        <v>1.27</v>
      </c>
      <c r="X291" s="26">
        <v>37</v>
      </c>
      <c r="Y291" s="96">
        <v>2</v>
      </c>
      <c r="Z291" s="26"/>
      <c r="AA291" s="26"/>
      <c r="AB291" s="114"/>
      <c r="AC291" s="26"/>
      <c r="AD291" s="26"/>
      <c r="AE291" s="74" t="s">
        <v>139</v>
      </c>
      <c r="AF291" s="29"/>
      <c r="AG291" s="26"/>
      <c r="AH291" s="26"/>
      <c r="AI291" s="117"/>
      <c r="AJ291" s="26"/>
      <c r="AK291" s="26"/>
      <c r="AL291" s="26">
        <v>2</v>
      </c>
      <c r="AO291" s="26">
        <v>0</v>
      </c>
      <c r="AP291" s="26"/>
      <c r="AQ291" s="26">
        <v>0</v>
      </c>
      <c r="AR291" s="26"/>
      <c r="AU291" s="121">
        <v>0</v>
      </c>
      <c r="AV291" s="121"/>
      <c r="AY291" s="26">
        <v>2</v>
      </c>
    </row>
    <row r="292" spans="3:51">
      <c r="C292">
        <v>283</v>
      </c>
      <c r="D292" s="26">
        <v>62</v>
      </c>
      <c r="E292" s="26">
        <v>7.1</v>
      </c>
      <c r="F292" s="71"/>
      <c r="G292" s="71"/>
      <c r="I292" s="46">
        <v>7.0999999999999994E-2</v>
      </c>
      <c r="L292" s="26">
        <v>0</v>
      </c>
      <c r="M292" s="53">
        <v>100</v>
      </c>
      <c r="N292" s="57">
        <v>3</v>
      </c>
      <c r="P292" s="24">
        <v>0</v>
      </c>
      <c r="Q292" s="73"/>
      <c r="W292" s="69">
        <v>1.05</v>
      </c>
      <c r="X292" s="26"/>
      <c r="Y292" s="98">
        <v>2</v>
      </c>
      <c r="Z292" s="97">
        <v>0.02</v>
      </c>
      <c r="AA292" s="26"/>
      <c r="AB292" s="114"/>
      <c r="AC292" s="26"/>
      <c r="AD292" s="26"/>
      <c r="AE292" s="73"/>
      <c r="AF292" s="29"/>
      <c r="AG292" s="26"/>
      <c r="AH292" s="26"/>
      <c r="AI292" s="117"/>
      <c r="AJ292" s="26"/>
      <c r="AK292" s="26"/>
      <c r="AL292" s="26">
        <v>2</v>
      </c>
      <c r="AO292" s="26">
        <v>0</v>
      </c>
      <c r="AP292" s="26"/>
      <c r="AQ292" s="26">
        <v>0</v>
      </c>
      <c r="AR292" s="26"/>
      <c r="AU292" s="121">
        <v>0</v>
      </c>
      <c r="AV292" s="121"/>
      <c r="AY292" s="26">
        <v>2</v>
      </c>
    </row>
    <row r="293" spans="3:51">
      <c r="C293">
        <v>284</v>
      </c>
      <c r="D293" s="26">
        <v>66</v>
      </c>
      <c r="E293" s="26">
        <v>32</v>
      </c>
      <c r="F293" s="71"/>
      <c r="G293" s="71"/>
      <c r="I293" s="46">
        <v>0.46376811594202899</v>
      </c>
      <c r="L293" s="26">
        <v>1</v>
      </c>
      <c r="M293" s="53">
        <v>69</v>
      </c>
      <c r="N293" s="57">
        <v>5</v>
      </c>
      <c r="P293" s="24">
        <v>0</v>
      </c>
      <c r="Q293" s="73"/>
      <c r="W293" s="69">
        <v>0</v>
      </c>
      <c r="X293" s="26">
        <v>20</v>
      </c>
      <c r="Y293" s="96">
        <v>1</v>
      </c>
      <c r="Z293" s="26"/>
      <c r="AA293" s="26">
        <v>7</v>
      </c>
      <c r="AB293" s="114"/>
      <c r="AC293" s="26"/>
      <c r="AD293" s="26"/>
      <c r="AE293" s="73"/>
      <c r="AF293" s="29"/>
      <c r="AG293" s="26"/>
      <c r="AH293" s="26"/>
      <c r="AI293" s="117"/>
      <c r="AJ293" s="26"/>
      <c r="AK293" s="26"/>
      <c r="AL293" s="26">
        <v>2</v>
      </c>
      <c r="AO293" s="26">
        <v>1</v>
      </c>
      <c r="AP293" s="26">
        <v>0</v>
      </c>
      <c r="AQ293" s="26">
        <v>1</v>
      </c>
      <c r="AR293" s="26" t="s">
        <v>139</v>
      </c>
      <c r="AU293" s="121">
        <v>1</v>
      </c>
      <c r="AV293" s="121" t="s">
        <v>139</v>
      </c>
      <c r="AY293" s="26" t="s">
        <v>221</v>
      </c>
    </row>
    <row r="294" spans="3:51">
      <c r="C294">
        <v>285</v>
      </c>
      <c r="D294" s="26">
        <v>68</v>
      </c>
      <c r="E294" s="44">
        <v>7.3</v>
      </c>
      <c r="F294" s="142"/>
      <c r="G294" s="142"/>
      <c r="I294" s="46">
        <v>0.21470588235294116</v>
      </c>
      <c r="L294" s="44">
        <v>1</v>
      </c>
      <c r="M294" s="59">
        <v>34</v>
      </c>
      <c r="N294" s="41">
        <v>4</v>
      </c>
      <c r="P294" s="24">
        <v>0</v>
      </c>
      <c r="Q294" s="74" t="s">
        <v>140</v>
      </c>
      <c r="W294" s="69">
        <v>3.77</v>
      </c>
      <c r="X294" s="26">
        <v>13</v>
      </c>
      <c r="Y294" s="98">
        <v>2</v>
      </c>
      <c r="Z294" s="97">
        <v>0.3</v>
      </c>
      <c r="AA294" s="26"/>
      <c r="AB294" s="114"/>
      <c r="AC294" s="26"/>
      <c r="AD294" s="26"/>
      <c r="AE294" s="74" t="s">
        <v>140</v>
      </c>
      <c r="AF294" s="29"/>
      <c r="AG294" s="26"/>
      <c r="AH294" s="26"/>
      <c r="AI294" s="117"/>
      <c r="AJ294" s="26"/>
      <c r="AK294" s="26"/>
      <c r="AL294" s="26">
        <v>2</v>
      </c>
      <c r="AO294" s="26">
        <v>0</v>
      </c>
      <c r="AP294" s="26"/>
      <c r="AQ294" s="26">
        <v>0</v>
      </c>
      <c r="AR294" s="26"/>
      <c r="AU294" s="121">
        <v>0</v>
      </c>
      <c r="AV294" s="121"/>
      <c r="AY294" s="26">
        <v>2</v>
      </c>
    </row>
    <row r="295" spans="3:51">
      <c r="C295">
        <v>286</v>
      </c>
      <c r="D295" s="26">
        <v>61</v>
      </c>
      <c r="E295" s="26">
        <v>18</v>
      </c>
      <c r="F295" s="71"/>
      <c r="G295" s="71"/>
      <c r="I295" s="46">
        <v>0.51428571428571423</v>
      </c>
      <c r="L295" s="26">
        <v>1</v>
      </c>
      <c r="M295" s="53">
        <v>35</v>
      </c>
      <c r="N295" s="57">
        <v>4</v>
      </c>
      <c r="P295" s="24">
        <v>0</v>
      </c>
      <c r="Q295" s="73" t="s">
        <v>140</v>
      </c>
      <c r="W295" s="69">
        <v>0</v>
      </c>
      <c r="X295" s="26">
        <v>10</v>
      </c>
      <c r="Y295" s="98">
        <v>3</v>
      </c>
      <c r="Z295" s="97">
        <v>0.7</v>
      </c>
      <c r="AA295" s="26"/>
      <c r="AB295" s="114"/>
      <c r="AC295" s="26"/>
      <c r="AD295" s="26"/>
      <c r="AE295" s="73" t="s">
        <v>140</v>
      </c>
      <c r="AF295" s="29"/>
      <c r="AG295" s="26"/>
      <c r="AH295" s="26"/>
      <c r="AI295" s="117"/>
      <c r="AJ295" s="26"/>
      <c r="AK295" s="26"/>
      <c r="AL295" s="26">
        <v>2</v>
      </c>
      <c r="AO295" s="26">
        <v>0</v>
      </c>
      <c r="AP295" s="26">
        <v>0</v>
      </c>
      <c r="AQ295" s="26">
        <v>1</v>
      </c>
      <c r="AR295" s="26" t="s">
        <v>140</v>
      </c>
      <c r="AU295" s="121">
        <v>1</v>
      </c>
      <c r="AV295" s="121" t="s">
        <v>140</v>
      </c>
      <c r="AY295" s="26" t="s">
        <v>221</v>
      </c>
    </row>
    <row r="296" spans="3:51">
      <c r="C296">
        <v>287</v>
      </c>
      <c r="D296" s="26">
        <v>75</v>
      </c>
      <c r="E296" s="26">
        <v>5.0999999999999996</v>
      </c>
      <c r="F296" s="71"/>
      <c r="G296" s="71"/>
      <c r="I296" s="46" t="e">
        <v>#DIV/0!</v>
      </c>
      <c r="L296" s="26">
        <v>0</v>
      </c>
      <c r="M296" s="53"/>
      <c r="N296" s="57">
        <v>4</v>
      </c>
      <c r="P296" s="24">
        <v>0</v>
      </c>
      <c r="Q296" s="73" t="s">
        <v>144</v>
      </c>
      <c r="W296" s="69">
        <v>0</v>
      </c>
      <c r="X296" s="26">
        <v>13</v>
      </c>
      <c r="Y296" s="96">
        <v>1</v>
      </c>
      <c r="Z296" s="97">
        <v>0.25</v>
      </c>
      <c r="AA296" s="26"/>
      <c r="AB296" s="114"/>
      <c r="AC296" s="26"/>
      <c r="AD296" s="26"/>
      <c r="AE296" s="73" t="s">
        <v>144</v>
      </c>
      <c r="AF296" s="29"/>
      <c r="AG296" s="26"/>
      <c r="AH296" s="26"/>
      <c r="AI296" s="117"/>
      <c r="AJ296" s="26"/>
      <c r="AK296" s="26"/>
      <c r="AL296" s="26">
        <v>1</v>
      </c>
      <c r="AO296" s="26">
        <v>0</v>
      </c>
      <c r="AP296" s="26"/>
      <c r="AQ296" s="26">
        <v>0</v>
      </c>
      <c r="AR296" s="26"/>
      <c r="AU296" s="121">
        <v>0</v>
      </c>
      <c r="AV296" s="121"/>
      <c r="AY296" s="26">
        <v>2</v>
      </c>
    </row>
    <row r="297" spans="3:51">
      <c r="C297">
        <v>288</v>
      </c>
      <c r="D297" s="26">
        <v>68</v>
      </c>
      <c r="E297" s="44">
        <v>4.3</v>
      </c>
      <c r="F297" s="142"/>
      <c r="G297" s="142"/>
      <c r="I297" s="46">
        <v>7.0491803278688522E-2</v>
      </c>
      <c r="L297" s="26">
        <v>0</v>
      </c>
      <c r="M297" s="53">
        <v>61</v>
      </c>
      <c r="N297" s="57">
        <v>4</v>
      </c>
      <c r="P297" s="24">
        <v>0</v>
      </c>
      <c r="Q297" s="73" t="s">
        <v>140</v>
      </c>
      <c r="W297" s="69">
        <v>0</v>
      </c>
      <c r="X297" s="26"/>
      <c r="Y297" s="96">
        <v>1</v>
      </c>
      <c r="Z297" s="97">
        <v>0.6</v>
      </c>
      <c r="AA297" s="26"/>
      <c r="AB297" s="114"/>
      <c r="AC297" s="26"/>
      <c r="AD297" s="26"/>
      <c r="AE297" s="73" t="s">
        <v>140</v>
      </c>
      <c r="AF297" s="29"/>
      <c r="AG297" s="26"/>
      <c r="AH297" s="26"/>
      <c r="AI297" s="117"/>
      <c r="AJ297" s="26"/>
      <c r="AK297" s="26"/>
      <c r="AL297" s="26">
        <v>1</v>
      </c>
      <c r="AO297" s="26">
        <v>0</v>
      </c>
      <c r="AP297" s="26"/>
      <c r="AQ297" s="26">
        <v>0</v>
      </c>
      <c r="AR297" s="26"/>
      <c r="AU297" s="121">
        <v>0</v>
      </c>
      <c r="AV297" s="121"/>
      <c r="AY297" s="26">
        <v>2</v>
      </c>
    </row>
    <row r="298" spans="3:51">
      <c r="C298">
        <v>289</v>
      </c>
      <c r="D298" s="26">
        <v>47</v>
      </c>
      <c r="E298" s="26">
        <v>6.28</v>
      </c>
      <c r="F298" s="71"/>
      <c r="G298" s="71"/>
      <c r="I298" s="46">
        <v>0.29904761904761906</v>
      </c>
      <c r="L298" s="26">
        <v>0</v>
      </c>
      <c r="M298" s="53">
        <v>21</v>
      </c>
      <c r="N298" s="57">
        <v>4</v>
      </c>
      <c r="P298" s="24">
        <v>0</v>
      </c>
      <c r="Q298" s="73"/>
      <c r="W298" s="69">
        <v>0.32</v>
      </c>
      <c r="X298" s="26"/>
      <c r="Y298" s="98">
        <v>1</v>
      </c>
      <c r="Z298" s="97">
        <v>0.3</v>
      </c>
      <c r="AA298" s="26"/>
      <c r="AB298" s="114"/>
      <c r="AC298" s="26"/>
      <c r="AD298" s="26"/>
      <c r="AE298" s="73"/>
      <c r="AF298" s="29"/>
      <c r="AG298" s="26"/>
      <c r="AH298" s="26"/>
      <c r="AI298" s="117"/>
      <c r="AJ298" s="26"/>
      <c r="AK298" s="26"/>
      <c r="AL298" s="26">
        <v>1</v>
      </c>
      <c r="AO298" s="26">
        <v>0</v>
      </c>
      <c r="AP298" s="26">
        <v>0</v>
      </c>
      <c r="AQ298" s="26">
        <v>0</v>
      </c>
      <c r="AR298" s="26"/>
      <c r="AU298" s="121">
        <v>0</v>
      </c>
      <c r="AV298" s="121"/>
      <c r="AY298" s="26">
        <v>2</v>
      </c>
    </row>
    <row r="299" spans="3:51">
      <c r="C299">
        <v>290</v>
      </c>
      <c r="D299" s="26">
        <v>65</v>
      </c>
      <c r="E299" s="26">
        <v>6</v>
      </c>
      <c r="F299" s="71"/>
      <c r="G299" s="71"/>
      <c r="I299" s="46">
        <v>0.17142857142857143</v>
      </c>
      <c r="L299" s="26">
        <v>1</v>
      </c>
      <c r="M299" s="53">
        <v>35</v>
      </c>
      <c r="N299" s="57">
        <v>5</v>
      </c>
      <c r="P299" s="26">
        <v>1</v>
      </c>
      <c r="Q299" s="73" t="s">
        <v>140</v>
      </c>
      <c r="W299" s="69">
        <v>0</v>
      </c>
      <c r="X299" s="26"/>
      <c r="Y299" s="98">
        <v>2</v>
      </c>
      <c r="Z299" s="97">
        <v>0.3</v>
      </c>
      <c r="AA299" s="26"/>
      <c r="AB299" s="114"/>
      <c r="AC299" s="26"/>
      <c r="AD299" s="26"/>
      <c r="AE299" s="73" t="s">
        <v>140</v>
      </c>
      <c r="AF299" s="29"/>
      <c r="AG299" s="26"/>
      <c r="AH299" s="26"/>
      <c r="AI299" s="117"/>
      <c r="AJ299" s="26"/>
      <c r="AK299" s="26"/>
      <c r="AL299" s="26">
        <v>3</v>
      </c>
      <c r="AO299" s="26">
        <v>0</v>
      </c>
      <c r="AP299" s="26">
        <v>0</v>
      </c>
      <c r="AQ299" s="26">
        <v>1</v>
      </c>
      <c r="AR299" s="26" t="s">
        <v>140</v>
      </c>
      <c r="AU299" s="121">
        <v>1</v>
      </c>
      <c r="AV299" s="121" t="s">
        <v>140</v>
      </c>
      <c r="AY299" s="26" t="s">
        <v>221</v>
      </c>
    </row>
    <row r="300" spans="3:51">
      <c r="C300">
        <v>291</v>
      </c>
      <c r="D300" s="26">
        <v>65</v>
      </c>
      <c r="E300" s="26">
        <v>9.33</v>
      </c>
      <c r="F300" s="71"/>
      <c r="G300" s="71"/>
      <c r="I300" s="46">
        <v>0.19851063829787235</v>
      </c>
      <c r="L300" s="26">
        <v>1</v>
      </c>
      <c r="M300" s="53">
        <v>47</v>
      </c>
      <c r="N300" s="57">
        <v>4</v>
      </c>
      <c r="P300" s="24">
        <v>0</v>
      </c>
      <c r="Q300" s="73" t="s">
        <v>140</v>
      </c>
      <c r="W300" s="69">
        <v>0</v>
      </c>
      <c r="X300" s="26">
        <v>9</v>
      </c>
      <c r="Y300" s="98">
        <v>1</v>
      </c>
      <c r="Z300" s="97">
        <v>7.0000000000000007E-2</v>
      </c>
      <c r="AA300" s="26"/>
      <c r="AB300" s="114"/>
      <c r="AC300" s="26"/>
      <c r="AD300" s="26"/>
      <c r="AE300" s="73" t="s">
        <v>140</v>
      </c>
      <c r="AF300" s="29"/>
      <c r="AG300" s="26"/>
      <c r="AH300" s="26"/>
      <c r="AI300" s="117"/>
      <c r="AJ300" s="26"/>
      <c r="AK300" s="26"/>
      <c r="AL300" s="26">
        <v>2</v>
      </c>
      <c r="AO300" s="26">
        <v>0</v>
      </c>
      <c r="AP300" s="26"/>
      <c r="AQ300" s="26">
        <v>1</v>
      </c>
      <c r="AR300" s="26" t="s">
        <v>139</v>
      </c>
      <c r="AU300" s="121">
        <v>0</v>
      </c>
      <c r="AV300" s="121"/>
      <c r="AY300" s="26" t="s">
        <v>220</v>
      </c>
    </row>
    <row r="301" spans="3:51">
      <c r="C301">
        <v>292</v>
      </c>
      <c r="D301" s="26">
        <v>75</v>
      </c>
      <c r="E301" s="44">
        <v>14.263</v>
      </c>
      <c r="F301" s="142"/>
      <c r="G301" s="142"/>
      <c r="I301" s="46">
        <v>0.41949999999999998</v>
      </c>
      <c r="L301" s="44">
        <v>1</v>
      </c>
      <c r="M301" s="59">
        <v>34</v>
      </c>
      <c r="N301" s="41"/>
      <c r="P301" s="26"/>
      <c r="Q301" s="74"/>
      <c r="W301" s="69">
        <v>0</v>
      </c>
      <c r="X301" s="26"/>
      <c r="Y301" s="96">
        <v>1</v>
      </c>
      <c r="Z301" s="26"/>
      <c r="AA301" s="26" t="s">
        <v>200</v>
      </c>
      <c r="AB301" s="114"/>
      <c r="AC301" s="26"/>
      <c r="AD301" s="26"/>
      <c r="AE301" s="74"/>
      <c r="AF301" s="29"/>
      <c r="AG301" s="26"/>
      <c r="AH301" s="26"/>
      <c r="AI301" s="117"/>
      <c r="AJ301" s="26"/>
      <c r="AK301" s="26"/>
      <c r="AL301" s="26">
        <v>2</v>
      </c>
      <c r="AO301" s="26">
        <v>1</v>
      </c>
      <c r="AP301" s="26">
        <v>0</v>
      </c>
      <c r="AQ301" s="26">
        <v>1</v>
      </c>
      <c r="AR301" s="26" t="s">
        <v>139</v>
      </c>
      <c r="AU301" s="121">
        <v>0</v>
      </c>
      <c r="AV301" s="121"/>
      <c r="AY301" s="26" t="s">
        <v>220</v>
      </c>
    </row>
    <row r="302" spans="3:51">
      <c r="C302">
        <v>293</v>
      </c>
      <c r="D302" s="26">
        <v>73</v>
      </c>
      <c r="E302" s="44">
        <v>8</v>
      </c>
      <c r="F302" s="142"/>
      <c r="G302" s="142"/>
      <c r="I302" s="46">
        <v>0.17278617710583155</v>
      </c>
      <c r="L302" s="44">
        <v>0</v>
      </c>
      <c r="M302" s="59">
        <v>46.3</v>
      </c>
      <c r="N302" s="41"/>
      <c r="P302" s="24">
        <v>0</v>
      </c>
      <c r="Q302" s="74"/>
      <c r="W302" s="69">
        <v>0.86</v>
      </c>
      <c r="X302" s="26"/>
      <c r="Y302" s="96">
        <v>3</v>
      </c>
      <c r="Z302" s="97">
        <v>0.1</v>
      </c>
      <c r="AA302" s="26"/>
      <c r="AB302" s="114"/>
      <c r="AC302" s="26"/>
      <c r="AD302" s="26"/>
      <c r="AE302" s="74"/>
      <c r="AF302" s="29"/>
      <c r="AG302" s="26"/>
      <c r="AH302" s="26"/>
      <c r="AI302" s="117"/>
      <c r="AJ302" s="26"/>
      <c r="AK302" s="26"/>
      <c r="AL302" s="26">
        <v>2</v>
      </c>
      <c r="AO302" s="26">
        <v>1</v>
      </c>
      <c r="AP302" s="26"/>
      <c r="AQ302" s="26">
        <v>1</v>
      </c>
      <c r="AR302" s="26" t="s">
        <v>139</v>
      </c>
      <c r="AU302" s="121">
        <v>0</v>
      </c>
      <c r="AV302" s="121"/>
      <c r="AY302" s="26" t="s">
        <v>220</v>
      </c>
    </row>
    <row r="303" spans="3:51">
      <c r="C303">
        <v>294</v>
      </c>
      <c r="D303" s="26">
        <v>70</v>
      </c>
      <c r="E303" s="26">
        <v>5</v>
      </c>
      <c r="F303" s="71"/>
      <c r="G303" s="71"/>
      <c r="I303" s="46">
        <v>0.15151515151515152</v>
      </c>
      <c r="L303" s="26">
        <v>0</v>
      </c>
      <c r="M303" s="53">
        <v>33</v>
      </c>
      <c r="N303" s="57">
        <v>5</v>
      </c>
      <c r="P303" s="24">
        <v>0</v>
      </c>
      <c r="Q303" s="73" t="s">
        <v>140</v>
      </c>
      <c r="W303" s="69">
        <v>0</v>
      </c>
      <c r="X303" s="26">
        <v>17</v>
      </c>
      <c r="Y303" s="98">
        <v>3</v>
      </c>
      <c r="Z303" s="26"/>
      <c r="AA303" s="26"/>
      <c r="AB303" s="114"/>
      <c r="AC303" s="26"/>
      <c r="AD303" s="26"/>
      <c r="AE303" s="73" t="s">
        <v>140</v>
      </c>
      <c r="AF303" s="29"/>
      <c r="AG303" s="26"/>
      <c r="AH303" s="26"/>
      <c r="AI303" s="117"/>
      <c r="AJ303" s="26"/>
      <c r="AK303" s="26"/>
      <c r="AL303" s="26">
        <v>5</v>
      </c>
      <c r="AO303" s="26">
        <v>1</v>
      </c>
      <c r="AP303" s="26"/>
      <c r="AQ303" s="26">
        <v>1</v>
      </c>
      <c r="AR303" s="26" t="s">
        <v>140</v>
      </c>
      <c r="AU303" s="121">
        <v>1</v>
      </c>
      <c r="AV303" s="121" t="s">
        <v>140</v>
      </c>
      <c r="AY303" s="26" t="s">
        <v>221</v>
      </c>
    </row>
    <row r="304" spans="3:51">
      <c r="C304">
        <v>295</v>
      </c>
      <c r="D304" s="26">
        <v>70</v>
      </c>
      <c r="E304" s="44">
        <v>9.6999999999999993</v>
      </c>
      <c r="F304" s="142"/>
      <c r="G304" s="142"/>
      <c r="I304" s="46">
        <v>0.48499999999999999</v>
      </c>
      <c r="L304" s="44">
        <v>0</v>
      </c>
      <c r="M304" s="59">
        <v>20</v>
      </c>
      <c r="N304" s="57"/>
      <c r="P304" s="24">
        <v>0</v>
      </c>
      <c r="Q304" s="73"/>
      <c r="W304" s="69">
        <v>0.72</v>
      </c>
      <c r="X304" s="26"/>
      <c r="Y304" s="96">
        <v>1</v>
      </c>
      <c r="Z304" s="97">
        <v>0.3</v>
      </c>
      <c r="AA304" s="26"/>
      <c r="AB304" s="114"/>
      <c r="AC304" s="26"/>
      <c r="AD304" s="26"/>
      <c r="AE304" s="73"/>
      <c r="AF304" s="29"/>
      <c r="AG304" s="26"/>
      <c r="AH304" s="26"/>
      <c r="AI304" s="117"/>
      <c r="AJ304" s="26"/>
      <c r="AK304" s="26"/>
      <c r="AL304" s="26">
        <v>2</v>
      </c>
      <c r="AO304" s="26">
        <v>1</v>
      </c>
      <c r="AP304" s="26"/>
      <c r="AQ304" s="26">
        <v>0</v>
      </c>
      <c r="AR304" s="26"/>
      <c r="AU304" s="121">
        <v>0</v>
      </c>
      <c r="AV304" s="121"/>
      <c r="AY304" s="26">
        <v>2</v>
      </c>
    </row>
    <row r="305" spans="3:51">
      <c r="C305">
        <v>296</v>
      </c>
      <c r="D305" s="26">
        <v>70</v>
      </c>
      <c r="E305" s="44">
        <v>4.76</v>
      </c>
      <c r="F305" s="142"/>
      <c r="G305" s="142"/>
      <c r="I305" s="46">
        <v>0.15866666666666665</v>
      </c>
      <c r="L305" s="44">
        <v>0</v>
      </c>
      <c r="M305" s="59">
        <v>30</v>
      </c>
      <c r="N305" s="41">
        <v>4</v>
      </c>
      <c r="P305" s="24">
        <v>0</v>
      </c>
      <c r="Q305" s="74"/>
      <c r="W305" s="69">
        <v>0</v>
      </c>
      <c r="X305" s="26"/>
      <c r="Y305" s="98">
        <v>3</v>
      </c>
      <c r="Z305" s="97">
        <v>0.3</v>
      </c>
      <c r="AA305" s="26"/>
      <c r="AB305" s="114"/>
      <c r="AC305" s="26"/>
      <c r="AD305" s="26"/>
      <c r="AE305" s="74"/>
      <c r="AF305" s="29"/>
      <c r="AG305" s="26"/>
      <c r="AH305" s="26"/>
      <c r="AI305" s="117"/>
      <c r="AJ305" s="26"/>
      <c r="AK305" s="26"/>
      <c r="AL305" s="26">
        <v>3</v>
      </c>
      <c r="AO305" s="26">
        <v>1</v>
      </c>
      <c r="AP305" s="26"/>
      <c r="AQ305" s="26">
        <v>1</v>
      </c>
      <c r="AR305" s="26" t="s">
        <v>217</v>
      </c>
      <c r="AU305" s="121">
        <v>1</v>
      </c>
      <c r="AV305" s="121" t="s">
        <v>140</v>
      </c>
      <c r="AY305" s="26" t="s">
        <v>221</v>
      </c>
    </row>
    <row r="306" spans="3:51">
      <c r="C306">
        <v>297</v>
      </c>
      <c r="D306" s="26">
        <v>64</v>
      </c>
      <c r="E306" s="44">
        <v>9.67</v>
      </c>
      <c r="F306" s="142"/>
      <c r="G306" s="142"/>
      <c r="I306" s="46">
        <v>0.34535714285714286</v>
      </c>
      <c r="L306" s="44">
        <v>1</v>
      </c>
      <c r="M306" s="59">
        <v>28</v>
      </c>
      <c r="N306" s="41">
        <v>4</v>
      </c>
      <c r="P306" s="24">
        <v>0</v>
      </c>
      <c r="Q306" s="74"/>
      <c r="W306" s="69">
        <v>0</v>
      </c>
      <c r="X306" s="26"/>
      <c r="Y306" s="96">
        <v>2</v>
      </c>
      <c r="Z306" s="97">
        <v>0.65</v>
      </c>
      <c r="AA306" s="26"/>
      <c r="AB306" s="114"/>
      <c r="AC306" s="26"/>
      <c r="AD306" s="26"/>
      <c r="AE306" s="74"/>
      <c r="AF306" s="29"/>
      <c r="AG306" s="26"/>
      <c r="AH306" s="26"/>
      <c r="AI306" s="117"/>
      <c r="AJ306" s="26"/>
      <c r="AK306" s="26"/>
      <c r="AL306" s="26">
        <v>1</v>
      </c>
      <c r="AO306" s="26">
        <v>0</v>
      </c>
      <c r="AP306" s="26"/>
      <c r="AQ306" s="26">
        <v>0</v>
      </c>
      <c r="AR306" s="26"/>
      <c r="AU306" s="121">
        <v>0</v>
      </c>
      <c r="AV306" s="121"/>
      <c r="AY306" s="26">
        <v>2</v>
      </c>
    </row>
    <row r="307" spans="3:51">
      <c r="C307">
        <v>298</v>
      </c>
      <c r="D307" s="26">
        <v>71</v>
      </c>
      <c r="E307" s="44">
        <v>6.2</v>
      </c>
      <c r="F307" s="142"/>
      <c r="G307" s="142"/>
      <c r="I307" s="46">
        <v>0.23846153846153847</v>
      </c>
      <c r="L307" s="44">
        <v>1</v>
      </c>
      <c r="M307" s="59">
        <v>26</v>
      </c>
      <c r="N307" s="41">
        <v>3</v>
      </c>
      <c r="P307" s="24">
        <v>0</v>
      </c>
      <c r="Q307" s="74"/>
      <c r="W307" s="69">
        <v>0</v>
      </c>
      <c r="X307" s="26"/>
      <c r="Y307" s="98">
        <v>3</v>
      </c>
      <c r="Z307" s="97">
        <v>0.65</v>
      </c>
      <c r="AA307" s="26"/>
      <c r="AB307" s="114"/>
      <c r="AC307" s="26"/>
      <c r="AD307" s="26"/>
      <c r="AE307" s="74"/>
      <c r="AF307" s="29"/>
      <c r="AG307" s="26"/>
      <c r="AH307" s="26"/>
      <c r="AI307" s="117"/>
      <c r="AJ307" s="26"/>
      <c r="AK307" s="26"/>
      <c r="AL307" s="26">
        <v>2</v>
      </c>
      <c r="AO307" s="26">
        <v>0</v>
      </c>
      <c r="AP307" s="26"/>
      <c r="AQ307" s="26">
        <v>0</v>
      </c>
      <c r="AR307" s="26"/>
      <c r="AU307" s="121">
        <v>0</v>
      </c>
      <c r="AV307" s="121"/>
      <c r="AY307" s="26">
        <v>2</v>
      </c>
    </row>
    <row r="308" spans="3:51">
      <c r="C308">
        <v>299</v>
      </c>
      <c r="D308" s="26">
        <v>56</v>
      </c>
      <c r="E308" s="45">
        <v>5.3</v>
      </c>
      <c r="F308" s="143"/>
      <c r="G308" s="143"/>
      <c r="I308" s="46">
        <v>0.16060606060606061</v>
      </c>
      <c r="L308" s="26">
        <v>0</v>
      </c>
      <c r="M308" s="53">
        <v>33</v>
      </c>
      <c r="N308" s="57">
        <v>4</v>
      </c>
      <c r="P308" s="24">
        <v>0</v>
      </c>
      <c r="Q308" s="73"/>
      <c r="W308" s="69">
        <v>0</v>
      </c>
      <c r="X308" s="26"/>
      <c r="Y308" s="96">
        <v>3</v>
      </c>
      <c r="Z308" s="97">
        <v>0.6</v>
      </c>
      <c r="AA308" s="26"/>
      <c r="AB308" s="114"/>
      <c r="AC308" s="26"/>
      <c r="AD308" s="26"/>
      <c r="AE308" s="73"/>
      <c r="AF308" s="29"/>
      <c r="AG308" s="26"/>
      <c r="AH308" s="26"/>
      <c r="AI308" s="117"/>
      <c r="AJ308" s="26"/>
      <c r="AK308" s="26"/>
      <c r="AL308" s="26">
        <v>1</v>
      </c>
      <c r="AO308" s="26">
        <v>0</v>
      </c>
      <c r="AP308" s="26">
        <v>0</v>
      </c>
      <c r="AQ308" s="26">
        <v>0</v>
      </c>
      <c r="AR308" s="26"/>
      <c r="AU308" s="121">
        <v>0</v>
      </c>
      <c r="AV308" s="121"/>
      <c r="AY308" s="26">
        <v>2</v>
      </c>
    </row>
    <row r="309" spans="3:51">
      <c r="C309">
        <v>300</v>
      </c>
      <c r="D309" s="27">
        <v>74</v>
      </c>
      <c r="E309" s="45">
        <v>7.5</v>
      </c>
      <c r="F309" s="143"/>
      <c r="G309" s="143"/>
      <c r="I309" s="46">
        <v>0.16244314489928524</v>
      </c>
      <c r="L309" s="26">
        <v>1</v>
      </c>
      <c r="M309" s="53">
        <v>46.17</v>
      </c>
      <c r="N309" s="57">
        <v>4</v>
      </c>
      <c r="P309" s="24">
        <v>0</v>
      </c>
      <c r="Q309" s="73"/>
      <c r="W309" s="70">
        <v>0</v>
      </c>
      <c r="X309" s="26"/>
      <c r="Y309" s="98">
        <v>5</v>
      </c>
      <c r="Z309" s="101">
        <v>0.7</v>
      </c>
      <c r="AA309" s="27"/>
      <c r="AB309" s="114"/>
      <c r="AC309" s="27"/>
      <c r="AD309" s="27"/>
      <c r="AE309" s="73"/>
      <c r="AF309" s="29"/>
      <c r="AG309" s="27"/>
      <c r="AH309" s="27"/>
      <c r="AI309" s="117"/>
      <c r="AJ309" s="27"/>
      <c r="AK309" s="27"/>
      <c r="AL309" s="27">
        <v>3</v>
      </c>
      <c r="AO309" s="26">
        <v>0</v>
      </c>
      <c r="AP309" s="27">
        <v>0</v>
      </c>
      <c r="AQ309" s="27">
        <v>1</v>
      </c>
      <c r="AR309" s="27"/>
      <c r="AU309" s="121">
        <v>0</v>
      </c>
      <c r="AV309" s="121"/>
      <c r="AY309" s="26" t="s">
        <v>220</v>
      </c>
    </row>
    <row r="310" spans="3:51">
      <c r="C310">
        <v>301</v>
      </c>
      <c r="D310" s="26">
        <v>68</v>
      </c>
      <c r="E310" s="45">
        <v>5.6</v>
      </c>
      <c r="F310" s="143"/>
      <c r="G310" s="143"/>
      <c r="I310" s="46">
        <v>7.3684210526315783E-2</v>
      </c>
      <c r="L310" s="26">
        <v>0</v>
      </c>
      <c r="M310" s="53">
        <v>76</v>
      </c>
      <c r="N310" s="57">
        <v>4</v>
      </c>
      <c r="P310" s="24">
        <v>0</v>
      </c>
      <c r="Q310" s="73"/>
      <c r="W310" s="69">
        <v>0</v>
      </c>
      <c r="X310" s="26"/>
      <c r="Y310" s="96">
        <v>1</v>
      </c>
      <c r="Z310" s="97">
        <v>0.25</v>
      </c>
      <c r="AA310" s="26"/>
      <c r="AB310" s="114"/>
      <c r="AC310" s="26"/>
      <c r="AD310" s="26"/>
      <c r="AE310" s="73"/>
      <c r="AF310" s="29"/>
      <c r="AG310" s="26"/>
      <c r="AH310" s="26"/>
      <c r="AI310" s="117"/>
      <c r="AJ310" s="26"/>
      <c r="AK310" s="26"/>
      <c r="AL310" s="26">
        <v>1</v>
      </c>
      <c r="AO310" s="26">
        <v>0</v>
      </c>
      <c r="AP310" s="26">
        <v>0</v>
      </c>
      <c r="AQ310" s="26">
        <v>0</v>
      </c>
      <c r="AR310" s="26"/>
      <c r="AU310" s="121">
        <v>0</v>
      </c>
      <c r="AV310" s="121"/>
      <c r="AY310" s="26">
        <v>2</v>
      </c>
    </row>
    <row r="311" spans="3:51">
      <c r="C311">
        <v>302</v>
      </c>
      <c r="D311" s="26">
        <v>68</v>
      </c>
      <c r="E311" s="42">
        <v>16.350000000000001</v>
      </c>
      <c r="F311" s="140"/>
      <c r="G311" s="140"/>
      <c r="I311" s="46">
        <v>0.131062124248497</v>
      </c>
      <c r="L311" s="44">
        <v>0</v>
      </c>
      <c r="M311" s="59">
        <v>124.75</v>
      </c>
      <c r="N311" s="41">
        <v>5</v>
      </c>
      <c r="P311" s="26">
        <v>0</v>
      </c>
      <c r="Q311" s="74"/>
      <c r="W311" s="69">
        <v>0</v>
      </c>
      <c r="X311" s="26"/>
      <c r="Y311" s="98">
        <v>1</v>
      </c>
      <c r="Z311" s="97">
        <v>0.19</v>
      </c>
      <c r="AA311" s="26"/>
      <c r="AB311" s="114"/>
      <c r="AC311" s="26"/>
      <c r="AD311" s="26"/>
      <c r="AE311" s="74"/>
      <c r="AF311" s="29"/>
      <c r="AG311" s="26"/>
      <c r="AH311" s="26"/>
      <c r="AI311" s="117"/>
      <c r="AJ311" s="26"/>
      <c r="AK311" s="26"/>
      <c r="AL311" s="26">
        <v>0</v>
      </c>
      <c r="AO311" s="26">
        <v>0</v>
      </c>
      <c r="AP311" s="26"/>
      <c r="AQ311" s="26">
        <v>0</v>
      </c>
      <c r="AR311" s="26"/>
      <c r="AU311" s="121">
        <v>0</v>
      </c>
      <c r="AV311" s="121"/>
      <c r="AY311" s="26">
        <v>0</v>
      </c>
    </row>
    <row r="312" spans="3:51">
      <c r="C312">
        <v>6000</v>
      </c>
      <c r="D312" s="144"/>
      <c r="E312" s="144">
        <v>2.9</v>
      </c>
      <c r="I312" t="e">
        <f t="shared" ref="I312:I343" si="2">E312/M312</f>
        <v>#DIV/0!</v>
      </c>
      <c r="K312" s="144"/>
      <c r="L312" s="144"/>
      <c r="M312" s="144"/>
      <c r="N312" s="144"/>
      <c r="P312" s="144"/>
      <c r="Q312" s="144"/>
      <c r="X312" s="144"/>
      <c r="Y312" s="144"/>
      <c r="Z312" s="144"/>
      <c r="AL312" s="144"/>
      <c r="AO312" s="144"/>
      <c r="AP312" s="144"/>
      <c r="AQ312" s="144"/>
      <c r="AS312" s="144"/>
      <c r="AT312" s="144"/>
      <c r="AU312" s="144"/>
      <c r="AW312" s="144"/>
      <c r="AX312" s="144"/>
      <c r="AY312" s="144"/>
    </row>
    <row r="313" spans="3:51" ht="30">
      <c r="C313">
        <v>6001</v>
      </c>
      <c r="D313" s="144">
        <v>59</v>
      </c>
      <c r="E313" s="144">
        <v>3.8</v>
      </c>
      <c r="I313">
        <f t="shared" si="2"/>
        <v>0.12666666666666665</v>
      </c>
      <c r="K313" s="144" t="s">
        <v>225</v>
      </c>
      <c r="L313" s="144">
        <v>1</v>
      </c>
      <c r="M313" s="144">
        <v>30</v>
      </c>
      <c r="N313" s="144">
        <v>5</v>
      </c>
      <c r="P313" s="144"/>
      <c r="Q313" s="144"/>
      <c r="X313" s="144" t="s">
        <v>244</v>
      </c>
      <c r="Y313" s="144">
        <v>1</v>
      </c>
      <c r="Z313" s="144">
        <v>80</v>
      </c>
      <c r="AL313" s="144">
        <v>2</v>
      </c>
      <c r="AO313" s="144">
        <v>0</v>
      </c>
      <c r="AP313" s="144">
        <v>0</v>
      </c>
      <c r="AQ313" s="144">
        <v>1</v>
      </c>
      <c r="AS313" s="144" t="s">
        <v>243</v>
      </c>
      <c r="AT313" s="144" t="s">
        <v>242</v>
      </c>
      <c r="AU313" s="144">
        <v>0</v>
      </c>
      <c r="AW313" s="144"/>
      <c r="AX313" s="144"/>
      <c r="AY313" s="144" t="s">
        <v>220</v>
      </c>
    </row>
    <row r="314" spans="3:51">
      <c r="C314">
        <v>6002</v>
      </c>
      <c r="D314" s="144">
        <v>71</v>
      </c>
      <c r="E314" s="144">
        <v>9.3000000000000007</v>
      </c>
      <c r="I314">
        <f t="shared" si="2"/>
        <v>0.25833333333333336</v>
      </c>
      <c r="K314" s="146"/>
      <c r="L314" s="144"/>
      <c r="M314" s="144">
        <v>36</v>
      </c>
      <c r="N314" s="144">
        <v>4</v>
      </c>
      <c r="P314" s="144"/>
      <c r="Q314" s="144"/>
      <c r="X314" s="144" t="s">
        <v>245</v>
      </c>
      <c r="Y314" s="144">
        <v>1</v>
      </c>
      <c r="Z314" s="144">
        <v>15</v>
      </c>
      <c r="AL314" s="144">
        <v>1</v>
      </c>
      <c r="AO314" s="144">
        <v>0</v>
      </c>
      <c r="AP314" s="144" t="s">
        <v>240</v>
      </c>
      <c r="AQ314" s="144">
        <v>0</v>
      </c>
      <c r="AS314" s="144"/>
      <c r="AT314" s="144"/>
      <c r="AU314" s="144">
        <v>0</v>
      </c>
      <c r="AW314" s="144"/>
      <c r="AX314" s="144"/>
      <c r="AY314" s="144" t="s">
        <v>237</v>
      </c>
    </row>
    <row r="315" spans="3:51">
      <c r="C315">
        <v>6003</v>
      </c>
      <c r="D315" s="145">
        <v>72</v>
      </c>
      <c r="E315" s="145">
        <v>7.6</v>
      </c>
      <c r="I315">
        <f t="shared" si="2"/>
        <v>0.29230769230769227</v>
      </c>
      <c r="K315" s="145"/>
      <c r="L315" s="145"/>
      <c r="M315" s="145">
        <v>26</v>
      </c>
      <c r="N315" s="145">
        <v>5</v>
      </c>
      <c r="P315" s="145"/>
      <c r="Q315" s="145"/>
      <c r="X315" s="145" t="s">
        <v>246</v>
      </c>
      <c r="Y315" s="145">
        <v>1</v>
      </c>
      <c r="Z315" s="145">
        <v>60</v>
      </c>
      <c r="AL315" s="145">
        <v>2</v>
      </c>
      <c r="AO315" s="145">
        <v>1</v>
      </c>
      <c r="AP315" s="145">
        <v>0</v>
      </c>
      <c r="AQ315" s="145">
        <v>0</v>
      </c>
      <c r="AS315" s="145"/>
      <c r="AT315" s="145"/>
      <c r="AU315" s="145">
        <v>0</v>
      </c>
      <c r="AW315" s="145"/>
      <c r="AX315" s="145"/>
      <c r="AY315" s="145">
        <v>2</v>
      </c>
    </row>
    <row r="316" spans="3:51">
      <c r="C316">
        <v>6004</v>
      </c>
      <c r="D316" s="144">
        <v>63</v>
      </c>
      <c r="E316" s="144">
        <v>13.37</v>
      </c>
      <c r="I316">
        <f t="shared" si="2"/>
        <v>0.29579646017699113</v>
      </c>
      <c r="K316" s="144" t="s">
        <v>226</v>
      </c>
      <c r="L316" s="144">
        <v>0</v>
      </c>
      <c r="M316" s="144">
        <v>45.2</v>
      </c>
      <c r="N316" s="144">
        <v>5</v>
      </c>
      <c r="P316" s="144">
        <v>1</v>
      </c>
      <c r="Q316" s="144"/>
      <c r="X316" s="144" t="s">
        <v>247</v>
      </c>
      <c r="Y316" s="144">
        <v>1</v>
      </c>
      <c r="Z316" s="144">
        <v>50</v>
      </c>
      <c r="AL316" s="144">
        <v>2</v>
      </c>
      <c r="AO316" s="144">
        <v>0</v>
      </c>
      <c r="AP316" s="144" t="s">
        <v>240</v>
      </c>
      <c r="AQ316" s="144">
        <v>1</v>
      </c>
      <c r="AS316" s="144" t="s">
        <v>243</v>
      </c>
      <c r="AT316" s="144" t="s">
        <v>242</v>
      </c>
      <c r="AU316" s="144">
        <v>0</v>
      </c>
      <c r="AW316" s="144"/>
      <c r="AX316" s="144"/>
      <c r="AY316" s="144" t="s">
        <v>220</v>
      </c>
    </row>
    <row r="317" spans="3:51" ht="45">
      <c r="C317">
        <v>6005</v>
      </c>
      <c r="D317" s="144">
        <v>66</v>
      </c>
      <c r="E317" s="144">
        <v>2.95</v>
      </c>
      <c r="I317">
        <f t="shared" si="2"/>
        <v>0.116600790513834</v>
      </c>
      <c r="K317" s="144" t="s">
        <v>227</v>
      </c>
      <c r="L317" s="144">
        <v>1</v>
      </c>
      <c r="M317" s="144">
        <v>25.3</v>
      </c>
      <c r="N317" s="144">
        <v>4</v>
      </c>
      <c r="P317" s="144"/>
      <c r="Q317" s="144"/>
      <c r="X317" s="144" t="s">
        <v>248</v>
      </c>
      <c r="Y317" s="144">
        <v>1</v>
      </c>
      <c r="Z317" s="146"/>
      <c r="AL317" s="144">
        <v>1</v>
      </c>
      <c r="AO317" s="144">
        <v>0</v>
      </c>
      <c r="AP317" s="144" t="s">
        <v>240</v>
      </c>
      <c r="AQ317" s="144">
        <v>0</v>
      </c>
      <c r="AS317" s="144"/>
      <c r="AT317" s="144"/>
      <c r="AU317" s="144">
        <v>0</v>
      </c>
      <c r="AW317" s="144"/>
      <c r="AX317" s="144"/>
      <c r="AY317" s="144">
        <v>2</v>
      </c>
    </row>
    <row r="318" spans="3:51" ht="45">
      <c r="C318">
        <v>6006</v>
      </c>
      <c r="D318" s="144">
        <v>60</v>
      </c>
      <c r="E318" s="144">
        <v>13.9</v>
      </c>
      <c r="I318">
        <f t="shared" si="2"/>
        <v>0.39714285714285713</v>
      </c>
      <c r="K318" s="144" t="s">
        <v>228</v>
      </c>
      <c r="L318" s="144">
        <v>1</v>
      </c>
      <c r="M318" s="144">
        <v>35</v>
      </c>
      <c r="N318" s="144">
        <v>4</v>
      </c>
      <c r="P318" s="144"/>
      <c r="Q318" s="144"/>
      <c r="X318" s="144" t="s">
        <v>249</v>
      </c>
      <c r="Y318" s="144">
        <v>2</v>
      </c>
      <c r="Z318" s="144">
        <v>27.5</v>
      </c>
      <c r="AL318" s="144">
        <v>2</v>
      </c>
      <c r="AO318" s="144">
        <v>0</v>
      </c>
      <c r="AP318" s="144" t="s">
        <v>240</v>
      </c>
      <c r="AQ318" s="144">
        <v>0</v>
      </c>
      <c r="AS318" s="144"/>
      <c r="AT318" s="144"/>
      <c r="AU318" s="144">
        <v>0</v>
      </c>
      <c r="AW318" s="144"/>
      <c r="AX318" s="144"/>
      <c r="AY318" s="144">
        <v>2</v>
      </c>
    </row>
    <row r="319" spans="3:51">
      <c r="C319">
        <v>6007</v>
      </c>
      <c r="D319" s="144">
        <v>59</v>
      </c>
      <c r="E319" s="144">
        <v>13</v>
      </c>
      <c r="I319">
        <f t="shared" si="2"/>
        <v>0.30232558139534882</v>
      </c>
      <c r="K319" s="144"/>
      <c r="L319" s="144"/>
      <c r="M319" s="144">
        <v>43</v>
      </c>
      <c r="N319" s="144">
        <v>5</v>
      </c>
      <c r="P319" s="144"/>
      <c r="Q319" s="144"/>
      <c r="X319" s="144" t="s">
        <v>250</v>
      </c>
      <c r="Y319" s="144">
        <v>1</v>
      </c>
      <c r="Z319" s="144">
        <v>10</v>
      </c>
      <c r="AL319" s="144">
        <v>2</v>
      </c>
      <c r="AO319" s="144">
        <v>0</v>
      </c>
      <c r="AP319" s="144" t="s">
        <v>240</v>
      </c>
      <c r="AQ319" s="144">
        <v>0</v>
      </c>
      <c r="AS319" s="144"/>
      <c r="AT319" s="144"/>
      <c r="AU319" s="144">
        <v>0</v>
      </c>
      <c r="AW319" s="144"/>
      <c r="AX319" s="144"/>
      <c r="AY319" s="144">
        <v>2</v>
      </c>
    </row>
    <row r="320" spans="3:51">
      <c r="C320">
        <v>6008</v>
      </c>
      <c r="D320" s="144">
        <v>78</v>
      </c>
      <c r="E320" s="144">
        <v>5.7</v>
      </c>
      <c r="I320">
        <f t="shared" si="2"/>
        <v>7.9166666666666663E-2</v>
      </c>
      <c r="K320" s="144"/>
      <c r="L320" s="144"/>
      <c r="M320" s="144">
        <v>72</v>
      </c>
      <c r="N320" s="144">
        <v>4</v>
      </c>
      <c r="P320" s="144"/>
      <c r="Q320" s="144"/>
      <c r="X320" s="144" t="s">
        <v>251</v>
      </c>
      <c r="Y320" s="144">
        <v>3</v>
      </c>
      <c r="Z320" s="144">
        <v>25</v>
      </c>
      <c r="AL320" s="144">
        <v>3</v>
      </c>
      <c r="AO320" s="144">
        <v>0</v>
      </c>
      <c r="AP320" s="144" t="s">
        <v>240</v>
      </c>
      <c r="AQ320" s="144">
        <v>1</v>
      </c>
      <c r="AS320" s="144" t="s">
        <v>243</v>
      </c>
      <c r="AT320" s="144" t="s">
        <v>242</v>
      </c>
      <c r="AU320" s="144">
        <v>0</v>
      </c>
      <c r="AW320" s="144"/>
      <c r="AX320" s="144"/>
      <c r="AY320" s="144" t="s">
        <v>220</v>
      </c>
    </row>
    <row r="321" spans="3:51">
      <c r="C321">
        <v>6009</v>
      </c>
      <c r="D321" s="144">
        <v>76</v>
      </c>
      <c r="E321" s="144">
        <v>0.37</v>
      </c>
      <c r="I321">
        <f t="shared" si="2"/>
        <v>0.01</v>
      </c>
      <c r="K321" s="144" t="s">
        <v>229</v>
      </c>
      <c r="L321" s="144">
        <v>1</v>
      </c>
      <c r="M321" s="144">
        <v>37</v>
      </c>
      <c r="N321" s="144">
        <v>5</v>
      </c>
      <c r="P321" s="144">
        <v>0</v>
      </c>
      <c r="Q321" s="144"/>
      <c r="X321" s="144" t="s">
        <v>252</v>
      </c>
      <c r="Y321" s="144">
        <v>3</v>
      </c>
      <c r="Z321" s="144"/>
      <c r="AL321" s="144">
        <v>3</v>
      </c>
      <c r="AO321" s="144">
        <v>0</v>
      </c>
      <c r="AP321" s="144">
        <v>0</v>
      </c>
      <c r="AQ321" s="144">
        <v>0</v>
      </c>
      <c r="AS321" s="144"/>
      <c r="AT321" s="144"/>
      <c r="AU321" s="144">
        <v>0</v>
      </c>
      <c r="AW321" s="144"/>
      <c r="AX321" s="144"/>
      <c r="AY321" s="144" t="s">
        <v>238</v>
      </c>
    </row>
    <row r="322" spans="3:51">
      <c r="C322">
        <v>6010</v>
      </c>
      <c r="D322" s="144">
        <v>69</v>
      </c>
      <c r="E322" s="144">
        <v>11.5</v>
      </c>
      <c r="I322">
        <f t="shared" si="2"/>
        <v>0.20909090909090908</v>
      </c>
      <c r="K322" s="144" t="s">
        <v>226</v>
      </c>
      <c r="L322" s="144">
        <v>0</v>
      </c>
      <c r="M322" s="144">
        <v>55</v>
      </c>
      <c r="N322" s="144">
        <v>4</v>
      </c>
      <c r="P322" s="144"/>
      <c r="Q322" s="144"/>
      <c r="X322" s="144" t="s">
        <v>249</v>
      </c>
      <c r="Y322" s="144">
        <v>1</v>
      </c>
      <c r="Z322" s="144">
        <v>90</v>
      </c>
      <c r="AL322" s="144">
        <v>2</v>
      </c>
      <c r="AO322" s="144">
        <v>0</v>
      </c>
      <c r="AP322" s="144" t="s">
        <v>240</v>
      </c>
      <c r="AQ322" s="144">
        <v>1</v>
      </c>
      <c r="AS322" s="144" t="s">
        <v>242</v>
      </c>
      <c r="AT322" s="144" t="s">
        <v>243</v>
      </c>
      <c r="AU322" s="144">
        <v>1</v>
      </c>
      <c r="AW322" s="144" t="s">
        <v>242</v>
      </c>
      <c r="AX322" s="144" t="s">
        <v>243</v>
      </c>
      <c r="AY322" s="144" t="s">
        <v>220</v>
      </c>
    </row>
    <row r="323" spans="3:51">
      <c r="C323">
        <v>6011</v>
      </c>
      <c r="D323" s="144">
        <v>65</v>
      </c>
      <c r="E323" s="144">
        <v>4.32</v>
      </c>
      <c r="I323">
        <f t="shared" si="2"/>
        <v>0.11675675675675676</v>
      </c>
      <c r="K323" s="144" t="s">
        <v>230</v>
      </c>
      <c r="L323" s="144">
        <v>1</v>
      </c>
      <c r="M323" s="144">
        <v>37</v>
      </c>
      <c r="N323" s="144">
        <v>4</v>
      </c>
      <c r="P323" s="144"/>
      <c r="Q323" s="144"/>
      <c r="X323" s="144" t="s">
        <v>249</v>
      </c>
      <c r="Y323" s="144">
        <v>3</v>
      </c>
      <c r="Z323" s="144">
        <v>100</v>
      </c>
      <c r="AL323" s="144">
        <v>5</v>
      </c>
      <c r="AO323" s="144">
        <v>0</v>
      </c>
      <c r="AP323" s="144" t="s">
        <v>240</v>
      </c>
      <c r="AQ323" s="144">
        <v>1</v>
      </c>
      <c r="AS323" s="144" t="s">
        <v>243</v>
      </c>
      <c r="AT323" s="144" t="s">
        <v>242</v>
      </c>
      <c r="AU323" s="144">
        <v>1</v>
      </c>
      <c r="AW323" s="144" t="s">
        <v>243</v>
      </c>
      <c r="AX323" s="144" t="s">
        <v>242</v>
      </c>
      <c r="AY323" s="144">
        <v>3</v>
      </c>
    </row>
    <row r="324" spans="3:51">
      <c r="C324">
        <v>6012</v>
      </c>
      <c r="D324" s="145">
        <v>60</v>
      </c>
      <c r="E324" s="145">
        <v>9.1999999999999993</v>
      </c>
      <c r="I324">
        <f t="shared" si="2"/>
        <v>0.31506849315068491</v>
      </c>
      <c r="K324" s="145" t="s">
        <v>230</v>
      </c>
      <c r="L324" s="145">
        <v>0</v>
      </c>
      <c r="M324" s="145">
        <v>29.2</v>
      </c>
      <c r="N324" s="145">
        <v>3</v>
      </c>
      <c r="P324" s="145"/>
      <c r="Q324" s="145"/>
      <c r="X324" s="145" t="s">
        <v>253</v>
      </c>
      <c r="Y324" s="145">
        <v>2</v>
      </c>
      <c r="Z324" s="145">
        <v>10</v>
      </c>
      <c r="AL324" s="145">
        <v>1</v>
      </c>
      <c r="AO324" s="145">
        <v>1</v>
      </c>
      <c r="AP324" s="145">
        <v>1</v>
      </c>
      <c r="AQ324" s="145"/>
      <c r="AS324" s="145"/>
      <c r="AT324" s="145"/>
      <c r="AU324" s="145">
        <v>0</v>
      </c>
      <c r="AW324" s="145"/>
      <c r="AX324" s="145"/>
      <c r="AY324" s="145">
        <v>4</v>
      </c>
    </row>
    <row r="325" spans="3:51">
      <c r="C325">
        <v>6013</v>
      </c>
      <c r="D325" s="145">
        <v>66</v>
      </c>
      <c r="E325" s="145">
        <v>4.6900000000000004</v>
      </c>
      <c r="I325">
        <f t="shared" si="2"/>
        <v>0.14656250000000001</v>
      </c>
      <c r="K325" s="145" t="s">
        <v>226</v>
      </c>
      <c r="L325" s="145">
        <v>0</v>
      </c>
      <c r="M325" s="145">
        <v>32</v>
      </c>
      <c r="N325" s="145">
        <v>4</v>
      </c>
      <c r="P325" s="145"/>
      <c r="Q325" s="145"/>
      <c r="X325" s="145" t="s">
        <v>254</v>
      </c>
      <c r="Y325" s="145">
        <v>2</v>
      </c>
      <c r="Z325" s="145">
        <v>20</v>
      </c>
      <c r="AL325" s="145">
        <v>2</v>
      </c>
      <c r="AO325" s="145" t="s">
        <v>241</v>
      </c>
      <c r="AP325" s="145" t="s">
        <v>240</v>
      </c>
      <c r="AQ325" s="145">
        <v>0</v>
      </c>
      <c r="AS325" s="145"/>
      <c r="AT325" s="145"/>
      <c r="AU325" s="145">
        <v>0</v>
      </c>
      <c r="AW325" s="145"/>
      <c r="AX325" s="145"/>
      <c r="AY325" s="145">
        <v>2</v>
      </c>
    </row>
    <row r="326" spans="3:51">
      <c r="C326">
        <v>6014</v>
      </c>
      <c r="D326" s="145">
        <v>47</v>
      </c>
      <c r="E326" s="145">
        <v>13</v>
      </c>
      <c r="I326">
        <f t="shared" si="2"/>
        <v>0.65</v>
      </c>
      <c r="K326" s="145" t="s">
        <v>226</v>
      </c>
      <c r="L326" s="145">
        <v>0</v>
      </c>
      <c r="M326" s="145">
        <v>20</v>
      </c>
      <c r="N326" s="145"/>
      <c r="P326" s="145"/>
      <c r="Q326" s="145"/>
      <c r="X326" s="145"/>
      <c r="Y326" s="145">
        <v>2</v>
      </c>
      <c r="Z326" s="145"/>
      <c r="AL326" s="145">
        <v>2</v>
      </c>
      <c r="AO326" s="145" t="s">
        <v>241</v>
      </c>
      <c r="AP326" s="145">
        <v>0</v>
      </c>
      <c r="AQ326" s="145">
        <v>1</v>
      </c>
      <c r="AS326" s="145" t="s">
        <v>242</v>
      </c>
      <c r="AT326" s="145" t="s">
        <v>243</v>
      </c>
      <c r="AU326" s="145">
        <v>0</v>
      </c>
      <c r="AW326" s="145"/>
      <c r="AX326" s="145"/>
      <c r="AY326" s="145">
        <v>3</v>
      </c>
    </row>
    <row r="327" spans="3:51">
      <c r="C327">
        <v>6015</v>
      </c>
      <c r="D327" s="144">
        <v>73</v>
      </c>
      <c r="E327" s="144">
        <v>5.35</v>
      </c>
      <c r="I327">
        <f t="shared" si="2"/>
        <v>8.8429752066115697E-2</v>
      </c>
      <c r="K327" s="144" t="s">
        <v>231</v>
      </c>
      <c r="L327" s="144">
        <v>1</v>
      </c>
      <c r="M327" s="144">
        <v>60.5</v>
      </c>
      <c r="N327" s="144">
        <v>4</v>
      </c>
      <c r="P327" s="144">
        <v>1</v>
      </c>
      <c r="Q327" s="144"/>
      <c r="X327" s="144" t="s">
        <v>248</v>
      </c>
      <c r="Y327" s="144">
        <v>1</v>
      </c>
      <c r="Z327" s="144">
        <v>70</v>
      </c>
      <c r="AL327" s="144">
        <v>1</v>
      </c>
      <c r="AO327" s="144">
        <v>0</v>
      </c>
      <c r="AP327" s="144" t="s">
        <v>240</v>
      </c>
      <c r="AQ327" s="144">
        <v>0</v>
      </c>
      <c r="AS327" s="144"/>
      <c r="AT327" s="144"/>
      <c r="AU327" s="144">
        <v>0</v>
      </c>
      <c r="AW327" s="144"/>
      <c r="AX327" s="144"/>
      <c r="AY327" s="144">
        <v>2</v>
      </c>
    </row>
    <row r="328" spans="3:51">
      <c r="C328">
        <v>6016</v>
      </c>
      <c r="D328" s="145">
        <v>76</v>
      </c>
      <c r="E328" s="145">
        <v>14.9</v>
      </c>
      <c r="I328">
        <f t="shared" si="2"/>
        <v>0.3725</v>
      </c>
      <c r="K328" s="145" t="s">
        <v>232</v>
      </c>
      <c r="L328" s="145">
        <v>1</v>
      </c>
      <c r="M328" s="145">
        <v>40</v>
      </c>
      <c r="N328" s="145">
        <v>5</v>
      </c>
      <c r="P328" s="145">
        <v>0</v>
      </c>
      <c r="Q328" s="145" t="s">
        <v>139</v>
      </c>
      <c r="X328" s="145"/>
      <c r="Y328" s="145">
        <v>2</v>
      </c>
      <c r="Z328" s="145">
        <v>15</v>
      </c>
      <c r="AL328" s="145">
        <v>3</v>
      </c>
      <c r="AO328" s="145">
        <v>1</v>
      </c>
      <c r="AP328" s="145">
        <v>0</v>
      </c>
      <c r="AQ328" s="145">
        <v>1</v>
      </c>
      <c r="AS328" s="145"/>
      <c r="AT328" s="145"/>
      <c r="AU328" s="145">
        <v>1</v>
      </c>
      <c r="AW328" s="145"/>
      <c r="AX328" s="145"/>
      <c r="AY328" s="145">
        <v>4</v>
      </c>
    </row>
    <row r="329" spans="3:51">
      <c r="C329">
        <v>6017</v>
      </c>
      <c r="D329" s="144">
        <v>72</v>
      </c>
      <c r="E329" s="144">
        <v>3.56</v>
      </c>
      <c r="I329">
        <f t="shared" si="2"/>
        <v>0.04</v>
      </c>
      <c r="K329" s="144" t="s">
        <v>226</v>
      </c>
      <c r="L329" s="144">
        <v>0</v>
      </c>
      <c r="M329" s="144">
        <v>89</v>
      </c>
      <c r="N329" s="144">
        <v>4</v>
      </c>
      <c r="P329" s="144">
        <v>1</v>
      </c>
      <c r="Q329" s="144"/>
      <c r="X329" s="144" t="s">
        <v>255</v>
      </c>
      <c r="Y329" s="144">
        <v>1</v>
      </c>
      <c r="Z329" s="144">
        <v>10</v>
      </c>
      <c r="AL329" s="144">
        <v>1</v>
      </c>
      <c r="AO329" s="144">
        <v>0</v>
      </c>
      <c r="AP329" s="144" t="s">
        <v>240</v>
      </c>
      <c r="AQ329" s="144">
        <v>0</v>
      </c>
      <c r="AS329" s="144"/>
      <c r="AT329" s="144"/>
      <c r="AU329" s="144">
        <v>0</v>
      </c>
      <c r="AW329" s="144"/>
      <c r="AX329" s="144"/>
      <c r="AY329" s="144" t="s">
        <v>239</v>
      </c>
    </row>
    <row r="330" spans="3:51">
      <c r="C330">
        <v>6018</v>
      </c>
      <c r="D330" s="145">
        <v>75</v>
      </c>
      <c r="E330" s="145">
        <v>12.1</v>
      </c>
      <c r="I330">
        <f t="shared" si="2"/>
        <v>0.31842105263157894</v>
      </c>
      <c r="K330" s="145" t="s">
        <v>231</v>
      </c>
      <c r="L330" s="145">
        <v>1</v>
      </c>
      <c r="M330" s="145">
        <v>38</v>
      </c>
      <c r="N330" s="145">
        <v>5</v>
      </c>
      <c r="P330" s="145"/>
      <c r="Q330" s="145"/>
      <c r="X330" s="145" t="s">
        <v>244</v>
      </c>
      <c r="Y330" s="145">
        <v>2</v>
      </c>
      <c r="Z330" s="145">
        <v>40</v>
      </c>
      <c r="AL330" s="145">
        <v>2</v>
      </c>
      <c r="AO330" s="145">
        <v>1</v>
      </c>
      <c r="AP330" s="145" t="s">
        <v>240</v>
      </c>
      <c r="AQ330" s="145">
        <v>1</v>
      </c>
      <c r="AS330" s="145"/>
      <c r="AT330" s="145"/>
      <c r="AU330" s="145">
        <v>0</v>
      </c>
      <c r="AW330" s="145"/>
      <c r="AX330" s="145"/>
      <c r="AY330" s="145">
        <v>4</v>
      </c>
    </row>
    <row r="331" spans="3:51">
      <c r="C331">
        <v>6019</v>
      </c>
      <c r="D331" s="144">
        <v>72</v>
      </c>
      <c r="E331" s="144">
        <v>9.0500000000000007</v>
      </c>
      <c r="I331">
        <f t="shared" si="2"/>
        <v>0.18854166666666669</v>
      </c>
      <c r="K331" s="144" t="s">
        <v>231</v>
      </c>
      <c r="L331" s="144">
        <v>1</v>
      </c>
      <c r="M331" s="144">
        <v>48</v>
      </c>
      <c r="N331" s="144">
        <v>4</v>
      </c>
      <c r="P331" s="144"/>
      <c r="Q331" s="144"/>
      <c r="X331" s="144" t="s">
        <v>256</v>
      </c>
      <c r="Y331" s="144">
        <v>3</v>
      </c>
      <c r="Z331" s="144">
        <v>50</v>
      </c>
      <c r="AL331" s="144">
        <v>3</v>
      </c>
      <c r="AO331" s="144">
        <v>0</v>
      </c>
      <c r="AP331" s="144" t="s">
        <v>240</v>
      </c>
      <c r="AQ331" s="144">
        <v>1</v>
      </c>
      <c r="AS331" s="144"/>
      <c r="AT331" s="144"/>
      <c r="AU331" s="144">
        <v>1</v>
      </c>
      <c r="AW331" s="144" t="s">
        <v>243</v>
      </c>
      <c r="AX331" s="144" t="s">
        <v>242</v>
      </c>
      <c r="AY331" s="144" t="s">
        <v>221</v>
      </c>
    </row>
    <row r="332" spans="3:51">
      <c r="C332">
        <v>6020</v>
      </c>
      <c r="D332" s="144">
        <v>65</v>
      </c>
      <c r="E332" s="144">
        <v>3.7</v>
      </c>
      <c r="I332">
        <f t="shared" si="2"/>
        <v>0.13703703703703704</v>
      </c>
      <c r="K332" s="144" t="s">
        <v>226</v>
      </c>
      <c r="L332" s="144">
        <v>0</v>
      </c>
      <c r="M332" s="144">
        <v>27</v>
      </c>
      <c r="N332" s="144">
        <v>4</v>
      </c>
      <c r="P332" s="144">
        <v>1</v>
      </c>
      <c r="Q332" s="144"/>
      <c r="X332" s="144" t="s">
        <v>244</v>
      </c>
      <c r="Y332" s="144">
        <v>2</v>
      </c>
      <c r="Z332" s="144">
        <v>40</v>
      </c>
      <c r="AL332" s="144">
        <v>3</v>
      </c>
      <c r="AO332" s="144">
        <v>0</v>
      </c>
      <c r="AP332" s="144"/>
      <c r="AQ332" s="144">
        <v>0</v>
      </c>
      <c r="AS332" s="144"/>
      <c r="AT332" s="144"/>
      <c r="AU332" s="144">
        <v>0</v>
      </c>
      <c r="AW332" s="144"/>
      <c r="AX332" s="144"/>
      <c r="AY332" s="144"/>
    </row>
    <row r="333" spans="3:51">
      <c r="C333">
        <v>6021</v>
      </c>
      <c r="D333" s="144">
        <v>63</v>
      </c>
      <c r="E333" s="144">
        <v>10.039999999999999</v>
      </c>
      <c r="I333">
        <f t="shared" si="2"/>
        <v>0.38615384615384613</v>
      </c>
      <c r="K333" s="144" t="s">
        <v>226</v>
      </c>
      <c r="L333" s="144">
        <v>0</v>
      </c>
      <c r="M333" s="144">
        <v>26</v>
      </c>
      <c r="N333" s="144">
        <v>4</v>
      </c>
      <c r="P333" s="144"/>
      <c r="Q333" s="144"/>
      <c r="X333" s="144" t="s">
        <v>248</v>
      </c>
      <c r="Y333" s="144">
        <v>1</v>
      </c>
      <c r="Z333" s="144">
        <v>40</v>
      </c>
      <c r="AL333" s="144">
        <v>1</v>
      </c>
      <c r="AO333" s="144">
        <v>0</v>
      </c>
      <c r="AP333" s="144" t="s">
        <v>240</v>
      </c>
      <c r="AQ333" s="144">
        <v>0</v>
      </c>
      <c r="AS333" s="144"/>
      <c r="AT333" s="144"/>
      <c r="AU333" s="144">
        <v>0</v>
      </c>
      <c r="AW333" s="144"/>
      <c r="AX333" s="144"/>
      <c r="AY333" s="144">
        <v>2</v>
      </c>
    </row>
    <row r="334" spans="3:51">
      <c r="C334">
        <v>6022</v>
      </c>
      <c r="D334" s="144">
        <v>75</v>
      </c>
      <c r="E334" s="144">
        <v>7</v>
      </c>
      <c r="I334">
        <f t="shared" si="2"/>
        <v>0.16666666666666666</v>
      </c>
      <c r="K334" s="144" t="s">
        <v>231</v>
      </c>
      <c r="L334" s="144">
        <v>1</v>
      </c>
      <c r="M334" s="144">
        <v>42</v>
      </c>
      <c r="N334" s="144">
        <v>4</v>
      </c>
      <c r="P334" s="144"/>
      <c r="Q334" s="144"/>
      <c r="X334" s="144" t="s">
        <v>257</v>
      </c>
      <c r="Y334" s="144">
        <v>2</v>
      </c>
      <c r="Z334" s="144">
        <v>100</v>
      </c>
      <c r="AL334" s="144">
        <v>2</v>
      </c>
      <c r="AO334" s="144">
        <v>0</v>
      </c>
      <c r="AP334" s="144" t="s">
        <v>240</v>
      </c>
      <c r="AQ334" s="144">
        <v>0</v>
      </c>
      <c r="AS334" s="144"/>
      <c r="AT334" s="144"/>
      <c r="AU334" s="144">
        <v>0</v>
      </c>
      <c r="AW334" s="144"/>
      <c r="AX334" s="144"/>
      <c r="AY334" s="144" t="s">
        <v>239</v>
      </c>
    </row>
    <row r="335" spans="3:51">
      <c r="C335">
        <v>6023</v>
      </c>
      <c r="D335" s="144">
        <v>60</v>
      </c>
      <c r="E335" s="144">
        <v>23.83</v>
      </c>
      <c r="I335">
        <f t="shared" si="2"/>
        <v>0.39716666666666661</v>
      </c>
      <c r="K335" s="144" t="s">
        <v>226</v>
      </c>
      <c r="L335" s="144">
        <v>0</v>
      </c>
      <c r="M335" s="144">
        <v>60</v>
      </c>
      <c r="N335" s="144">
        <v>5</v>
      </c>
      <c r="P335" s="144">
        <v>1</v>
      </c>
      <c r="Q335" s="144"/>
      <c r="X335" s="144" t="s">
        <v>258</v>
      </c>
      <c r="Y335" s="144">
        <v>2</v>
      </c>
      <c r="Z335" s="144"/>
      <c r="AL335" s="144">
        <v>1</v>
      </c>
      <c r="AO335" s="144">
        <v>0</v>
      </c>
      <c r="AP335" s="144">
        <v>0</v>
      </c>
      <c r="AQ335" s="144">
        <v>0</v>
      </c>
      <c r="AS335" s="144"/>
      <c r="AT335" s="144"/>
      <c r="AU335" s="144">
        <v>0</v>
      </c>
      <c r="AW335" s="144"/>
      <c r="AX335" s="144"/>
      <c r="AY335" s="144">
        <v>2</v>
      </c>
    </row>
    <row r="336" spans="3:51">
      <c r="C336">
        <v>6024</v>
      </c>
      <c r="D336" s="144">
        <v>58</v>
      </c>
      <c r="E336" s="144">
        <v>34</v>
      </c>
      <c r="I336">
        <f t="shared" si="2"/>
        <v>0.68</v>
      </c>
      <c r="K336" s="144" t="s">
        <v>231</v>
      </c>
      <c r="L336" s="144">
        <v>1</v>
      </c>
      <c r="M336" s="144">
        <v>50</v>
      </c>
      <c r="N336" s="144">
        <v>5</v>
      </c>
      <c r="P336" s="144"/>
      <c r="Q336" s="144"/>
      <c r="X336" s="144" t="s">
        <v>259</v>
      </c>
      <c r="Y336" s="144">
        <v>5</v>
      </c>
      <c r="Z336" s="144">
        <v>90</v>
      </c>
      <c r="AL336" s="144">
        <v>5</v>
      </c>
      <c r="AO336" s="144">
        <v>0</v>
      </c>
      <c r="AP336" s="144">
        <v>0</v>
      </c>
      <c r="AQ336" s="144">
        <v>0</v>
      </c>
      <c r="AS336" s="144"/>
      <c r="AT336" s="144"/>
      <c r="AU336" s="144">
        <v>0</v>
      </c>
      <c r="AW336" s="144"/>
      <c r="AX336" s="144"/>
      <c r="AY336" s="144">
        <v>2</v>
      </c>
    </row>
    <row r="337" spans="3:51">
      <c r="C337">
        <v>6025</v>
      </c>
      <c r="D337" s="145">
        <v>67</v>
      </c>
      <c r="E337" s="145">
        <v>12.4</v>
      </c>
      <c r="I337">
        <f t="shared" si="2"/>
        <v>0.35428571428571431</v>
      </c>
      <c r="K337" s="145" t="s">
        <v>226</v>
      </c>
      <c r="L337" s="145">
        <v>0</v>
      </c>
      <c r="M337" s="145">
        <v>35</v>
      </c>
      <c r="N337" s="145">
        <v>3</v>
      </c>
      <c r="P337" s="145"/>
      <c r="Q337" s="145"/>
      <c r="X337" s="145" t="s">
        <v>260</v>
      </c>
      <c r="Y337" s="145">
        <v>1</v>
      </c>
      <c r="Z337" s="145">
        <v>30</v>
      </c>
      <c r="AL337" s="145">
        <v>1</v>
      </c>
      <c r="AO337" s="145">
        <v>1</v>
      </c>
      <c r="AP337" s="145" t="s">
        <v>240</v>
      </c>
      <c r="AQ337" s="145">
        <v>0</v>
      </c>
      <c r="AS337" s="145"/>
      <c r="AT337" s="145"/>
      <c r="AU337" s="145">
        <v>0</v>
      </c>
      <c r="AW337" s="145"/>
      <c r="AX337" s="145"/>
      <c r="AY337" s="145">
        <v>2</v>
      </c>
    </row>
    <row r="338" spans="3:51">
      <c r="C338">
        <v>6026</v>
      </c>
      <c r="D338" s="145">
        <v>75</v>
      </c>
      <c r="E338" s="145">
        <v>8.25</v>
      </c>
      <c r="I338">
        <f t="shared" si="2"/>
        <v>0.12692307692307692</v>
      </c>
      <c r="K338" s="145" t="s">
        <v>226</v>
      </c>
      <c r="L338" s="145">
        <v>0</v>
      </c>
      <c r="M338" s="145">
        <v>65</v>
      </c>
      <c r="N338" s="145">
        <v>4</v>
      </c>
      <c r="P338" s="145"/>
      <c r="Q338" s="145"/>
      <c r="X338" s="145" t="s">
        <v>261</v>
      </c>
      <c r="Y338" s="145">
        <v>1</v>
      </c>
      <c r="Z338" s="145"/>
      <c r="AL338" s="145">
        <v>2</v>
      </c>
      <c r="AO338" s="145">
        <v>1</v>
      </c>
      <c r="AP338" s="145" t="s">
        <v>240</v>
      </c>
      <c r="AQ338" s="145">
        <v>1</v>
      </c>
      <c r="AS338" s="145"/>
      <c r="AT338" s="145"/>
      <c r="AU338" s="145">
        <v>0</v>
      </c>
      <c r="AW338" s="145"/>
      <c r="AX338" s="145"/>
      <c r="AY338" s="145">
        <v>2</v>
      </c>
    </row>
    <row r="339" spans="3:51">
      <c r="C339">
        <v>6027</v>
      </c>
      <c r="D339" s="145">
        <v>63</v>
      </c>
      <c r="E339" s="145">
        <v>10.4</v>
      </c>
      <c r="I339">
        <f t="shared" si="2"/>
        <v>0.23266219239373601</v>
      </c>
      <c r="K339" s="145" t="s">
        <v>231</v>
      </c>
      <c r="L339" s="145">
        <v>1</v>
      </c>
      <c r="M339" s="145">
        <v>44.7</v>
      </c>
      <c r="N339" s="145"/>
      <c r="P339" s="145">
        <v>1</v>
      </c>
      <c r="Q339" s="145"/>
      <c r="X339" s="145" t="s">
        <v>262</v>
      </c>
      <c r="Y339" s="145">
        <v>1</v>
      </c>
      <c r="Z339" s="145"/>
      <c r="AL339" s="145">
        <v>1</v>
      </c>
      <c r="AO339" s="145">
        <v>1</v>
      </c>
      <c r="AP339" s="145" t="s">
        <v>240</v>
      </c>
      <c r="AQ339" s="145"/>
      <c r="AS339" s="145"/>
      <c r="AT339" s="145"/>
      <c r="AU339" s="145">
        <v>0</v>
      </c>
      <c r="AW339" s="145"/>
      <c r="AX339" s="145"/>
      <c r="AY339" s="145" t="s">
        <v>239</v>
      </c>
    </row>
    <row r="340" spans="3:51">
      <c r="C340">
        <v>6028</v>
      </c>
      <c r="D340" s="144">
        <v>64</v>
      </c>
      <c r="E340" s="144">
        <v>8.8000000000000007</v>
      </c>
      <c r="I340">
        <f t="shared" si="2"/>
        <v>0.33898305084745767</v>
      </c>
      <c r="K340" s="144" t="s">
        <v>231</v>
      </c>
      <c r="L340" s="144">
        <v>1</v>
      </c>
      <c r="M340" s="144">
        <v>25.96</v>
      </c>
      <c r="N340" s="144">
        <v>5</v>
      </c>
      <c r="P340" s="144"/>
      <c r="Q340" s="144"/>
      <c r="X340" s="144" t="s">
        <v>247</v>
      </c>
      <c r="Y340" s="144">
        <v>1</v>
      </c>
      <c r="Z340" s="144">
        <v>10</v>
      </c>
      <c r="AL340" s="144">
        <v>3</v>
      </c>
      <c r="AO340" s="144">
        <v>0</v>
      </c>
      <c r="AP340" s="144" t="s">
        <v>240</v>
      </c>
      <c r="AQ340" s="144">
        <v>1</v>
      </c>
      <c r="AS340" s="144"/>
      <c r="AT340" s="144"/>
      <c r="AU340" s="144">
        <v>0</v>
      </c>
      <c r="AW340" s="144"/>
      <c r="AX340" s="144"/>
      <c r="AY340" s="144" t="s">
        <v>220</v>
      </c>
    </row>
    <row r="341" spans="3:51">
      <c r="C341">
        <v>6029</v>
      </c>
      <c r="D341" s="144">
        <v>71</v>
      </c>
      <c r="E341" s="144"/>
      <c r="I341" t="e">
        <f t="shared" si="2"/>
        <v>#DIV/0!</v>
      </c>
      <c r="K341" s="144"/>
      <c r="L341" s="144"/>
      <c r="M341" s="144"/>
      <c r="N341" s="144"/>
      <c r="P341" s="144"/>
      <c r="Q341" s="144"/>
      <c r="X341" s="144"/>
      <c r="Y341" s="144"/>
      <c r="Z341" s="144"/>
      <c r="AL341" s="144">
        <v>2</v>
      </c>
      <c r="AO341" s="144">
        <v>0</v>
      </c>
      <c r="AP341" s="144" t="s">
        <v>240</v>
      </c>
      <c r="AQ341" s="144">
        <v>0</v>
      </c>
      <c r="AS341" s="144"/>
      <c r="AT341" s="144"/>
      <c r="AU341" s="144">
        <v>0</v>
      </c>
      <c r="AW341" s="144"/>
      <c r="AX341" s="144"/>
      <c r="AY341" s="144">
        <v>2</v>
      </c>
    </row>
    <row r="342" spans="3:51">
      <c r="C342">
        <v>6030</v>
      </c>
      <c r="D342" s="145">
        <v>70</v>
      </c>
      <c r="E342" s="145"/>
      <c r="I342">
        <f t="shared" si="2"/>
        <v>0</v>
      </c>
      <c r="K342" s="145" t="s">
        <v>226</v>
      </c>
      <c r="L342" s="145">
        <v>0</v>
      </c>
      <c r="M342" s="145">
        <v>53.8</v>
      </c>
      <c r="N342" s="145">
        <v>5</v>
      </c>
      <c r="P342" s="145">
        <v>0</v>
      </c>
      <c r="Q342" s="145" t="s">
        <v>139</v>
      </c>
      <c r="X342" s="145" t="s">
        <v>263</v>
      </c>
      <c r="Y342" s="145">
        <v>2</v>
      </c>
      <c r="Z342" s="145">
        <v>40</v>
      </c>
      <c r="AL342" s="145">
        <v>2</v>
      </c>
      <c r="AO342" s="145" t="s">
        <v>241</v>
      </c>
      <c r="AP342" s="145">
        <v>0</v>
      </c>
      <c r="AQ342" s="145">
        <v>0</v>
      </c>
      <c r="AS342" s="145"/>
      <c r="AT342" s="145"/>
      <c r="AU342" s="145">
        <v>0</v>
      </c>
      <c r="AW342" s="145"/>
      <c r="AX342" s="145"/>
      <c r="AY342" s="145" t="s">
        <v>239</v>
      </c>
    </row>
    <row r="343" spans="3:51">
      <c r="C343">
        <v>6031</v>
      </c>
      <c r="D343" s="145">
        <v>63</v>
      </c>
      <c r="E343" s="145">
        <v>8.0399999999999991</v>
      </c>
      <c r="I343">
        <f t="shared" si="2"/>
        <v>0.1546153846153846</v>
      </c>
      <c r="K343" s="145" t="s">
        <v>232</v>
      </c>
      <c r="L343" s="145">
        <v>1</v>
      </c>
      <c r="M343" s="145">
        <v>52</v>
      </c>
      <c r="N343" s="145">
        <v>5</v>
      </c>
      <c r="P343" s="145">
        <v>0</v>
      </c>
      <c r="Q343" s="145" t="s">
        <v>139</v>
      </c>
      <c r="X343" s="145" t="s">
        <v>264</v>
      </c>
      <c r="Y343" s="145">
        <v>2</v>
      </c>
      <c r="Z343" s="145">
        <v>50</v>
      </c>
      <c r="AL343" s="145">
        <v>3</v>
      </c>
      <c r="AO343" s="145">
        <v>1</v>
      </c>
      <c r="AP343" s="145">
        <v>1</v>
      </c>
      <c r="AQ343" s="145">
        <v>1</v>
      </c>
      <c r="AS343" s="145"/>
      <c r="AT343" s="145"/>
      <c r="AU343" s="145">
        <v>1</v>
      </c>
      <c r="AW343" s="145" t="s">
        <v>243</v>
      </c>
      <c r="AX343" s="145" t="s">
        <v>242</v>
      </c>
      <c r="AY343" s="145" t="s">
        <v>221</v>
      </c>
    </row>
    <row r="344" spans="3:51">
      <c r="C344">
        <v>6032</v>
      </c>
      <c r="D344" s="144">
        <v>64</v>
      </c>
      <c r="E344" s="144">
        <v>13.56</v>
      </c>
      <c r="I344">
        <f t="shared" ref="I344:I380" si="3">E344/M344</f>
        <v>0.32285714285714284</v>
      </c>
      <c r="K344" s="144" t="s">
        <v>226</v>
      </c>
      <c r="L344" s="144">
        <v>0</v>
      </c>
      <c r="M344" s="144">
        <v>42</v>
      </c>
      <c r="N344" s="144">
        <v>4</v>
      </c>
      <c r="P344" s="144">
        <v>1</v>
      </c>
      <c r="Q344" s="144"/>
      <c r="X344" s="144" t="s">
        <v>254</v>
      </c>
      <c r="Y344" s="144">
        <v>1</v>
      </c>
      <c r="Z344" s="144">
        <v>10</v>
      </c>
      <c r="AL344" s="144">
        <v>2</v>
      </c>
      <c r="AO344" s="144">
        <v>0</v>
      </c>
      <c r="AP344" s="144">
        <v>0</v>
      </c>
      <c r="AQ344" s="144">
        <v>0</v>
      </c>
      <c r="AS344" s="144"/>
      <c r="AT344" s="144"/>
      <c r="AU344" s="144">
        <v>0</v>
      </c>
      <c r="AW344" s="144"/>
      <c r="AX344" s="144"/>
      <c r="AY344" s="144" t="s">
        <v>239</v>
      </c>
    </row>
    <row r="345" spans="3:51">
      <c r="C345">
        <v>6033</v>
      </c>
      <c r="D345" s="145">
        <v>59</v>
      </c>
      <c r="E345" s="145">
        <v>7.69</v>
      </c>
      <c r="I345" t="e">
        <f t="shared" si="3"/>
        <v>#DIV/0!</v>
      </c>
      <c r="K345" s="145" t="s">
        <v>226</v>
      </c>
      <c r="L345" s="145">
        <v>0</v>
      </c>
      <c r="M345" s="145"/>
      <c r="N345" s="145"/>
      <c r="P345" s="145"/>
      <c r="Q345" s="145"/>
      <c r="X345" s="145"/>
      <c r="Y345" s="145">
        <v>1</v>
      </c>
      <c r="Z345" s="145">
        <v>5</v>
      </c>
      <c r="AL345" s="145">
        <v>1</v>
      </c>
      <c r="AO345" s="145">
        <v>1</v>
      </c>
      <c r="AP345" s="145">
        <v>0</v>
      </c>
      <c r="AQ345" s="145">
        <v>1</v>
      </c>
      <c r="AS345" s="145" t="s">
        <v>243</v>
      </c>
      <c r="AT345" s="145" t="s">
        <v>242</v>
      </c>
      <c r="AU345" s="145">
        <v>0</v>
      </c>
      <c r="AW345" s="145"/>
      <c r="AX345" s="145"/>
      <c r="AY345" s="145" t="s">
        <v>220</v>
      </c>
    </row>
    <row r="346" spans="3:51">
      <c r="C346">
        <v>6034</v>
      </c>
      <c r="D346" s="144">
        <v>75</v>
      </c>
      <c r="E346" s="144">
        <v>6.12</v>
      </c>
      <c r="I346" t="e">
        <f t="shared" si="3"/>
        <v>#DIV/0!</v>
      </c>
      <c r="K346" s="144" t="s">
        <v>226</v>
      </c>
      <c r="L346" s="144">
        <v>0</v>
      </c>
      <c r="M346" s="144"/>
      <c r="N346" s="144" t="s">
        <v>235</v>
      </c>
      <c r="P346" s="144" t="s">
        <v>235</v>
      </c>
      <c r="Q346" s="144"/>
      <c r="X346" s="144"/>
      <c r="Y346" s="144">
        <v>2</v>
      </c>
      <c r="Z346" s="144">
        <v>70</v>
      </c>
      <c r="AL346" s="144">
        <v>2</v>
      </c>
      <c r="AO346" s="144">
        <v>0</v>
      </c>
      <c r="AP346" s="144" t="s">
        <v>240</v>
      </c>
      <c r="AQ346" s="144">
        <v>0</v>
      </c>
      <c r="AS346" s="144"/>
      <c r="AT346" s="144"/>
      <c r="AU346" s="144">
        <v>0</v>
      </c>
      <c r="AW346" s="144"/>
      <c r="AX346" s="144"/>
      <c r="AY346" s="144" t="s">
        <v>239</v>
      </c>
    </row>
    <row r="347" spans="3:51">
      <c r="C347">
        <v>6035</v>
      </c>
      <c r="D347" s="144">
        <v>64</v>
      </c>
      <c r="E347" s="144">
        <v>9</v>
      </c>
      <c r="I347">
        <f t="shared" si="3"/>
        <v>0.24324324324324326</v>
      </c>
      <c r="K347" s="144" t="s">
        <v>231</v>
      </c>
      <c r="L347" s="144">
        <v>1</v>
      </c>
      <c r="M347" s="144">
        <v>37</v>
      </c>
      <c r="N347" s="144">
        <v>4</v>
      </c>
      <c r="P347" s="144"/>
      <c r="Q347" s="144"/>
      <c r="X347" s="144" t="s">
        <v>254</v>
      </c>
      <c r="Y347" s="144">
        <v>1</v>
      </c>
      <c r="Z347" s="144"/>
      <c r="AL347" s="144">
        <v>1</v>
      </c>
      <c r="AO347" s="144">
        <v>0</v>
      </c>
      <c r="AP347" s="144" t="s">
        <v>240</v>
      </c>
      <c r="AQ347" s="144">
        <v>0</v>
      </c>
      <c r="AS347" s="144"/>
      <c r="AT347" s="144"/>
      <c r="AU347" s="144">
        <v>0</v>
      </c>
      <c r="AW347" s="144"/>
      <c r="AX347" s="144"/>
      <c r="AY347" s="144">
        <v>2</v>
      </c>
    </row>
    <row r="348" spans="3:51">
      <c r="C348">
        <v>6036</v>
      </c>
      <c r="D348" s="145">
        <v>40</v>
      </c>
      <c r="E348" s="145">
        <v>6</v>
      </c>
      <c r="I348">
        <f t="shared" si="3"/>
        <v>0.25</v>
      </c>
      <c r="K348" s="145" t="s">
        <v>226</v>
      </c>
      <c r="L348" s="145">
        <v>0</v>
      </c>
      <c r="M348" s="145">
        <v>24</v>
      </c>
      <c r="N348" s="145">
        <v>4</v>
      </c>
      <c r="P348" s="145"/>
      <c r="Q348" s="145"/>
      <c r="X348" s="145" t="s">
        <v>260</v>
      </c>
      <c r="Y348" s="145">
        <v>1</v>
      </c>
      <c r="Z348" s="145">
        <v>13</v>
      </c>
      <c r="AL348" s="145">
        <v>1</v>
      </c>
      <c r="AO348" s="145">
        <v>1</v>
      </c>
      <c r="AP348" s="145">
        <v>0</v>
      </c>
      <c r="AQ348" s="145">
        <v>0</v>
      </c>
      <c r="AS348" s="145"/>
      <c r="AT348" s="145"/>
      <c r="AU348" s="145">
        <v>0</v>
      </c>
      <c r="AW348" s="145"/>
      <c r="AX348" s="145"/>
      <c r="AY348" s="145">
        <v>2</v>
      </c>
    </row>
    <row r="349" spans="3:51">
      <c r="C349">
        <v>6037</v>
      </c>
      <c r="D349" s="144">
        <v>62</v>
      </c>
      <c r="E349" s="144"/>
      <c r="I349">
        <f t="shared" si="3"/>
        <v>0</v>
      </c>
      <c r="K349" s="144" t="s">
        <v>226</v>
      </c>
      <c r="L349" s="144">
        <v>1</v>
      </c>
      <c r="M349" s="144">
        <v>60</v>
      </c>
      <c r="N349" s="144">
        <v>3</v>
      </c>
      <c r="P349" s="144"/>
      <c r="Q349" s="144"/>
      <c r="X349" s="144" t="s">
        <v>255</v>
      </c>
      <c r="Y349" s="144">
        <v>1</v>
      </c>
      <c r="Z349" s="144">
        <v>21</v>
      </c>
      <c r="AL349" s="144">
        <v>1</v>
      </c>
      <c r="AO349" s="144">
        <v>0</v>
      </c>
      <c r="AP349" s="144" t="s">
        <v>240</v>
      </c>
      <c r="AQ349" s="144">
        <v>1</v>
      </c>
      <c r="AS349" s="144" t="s">
        <v>242</v>
      </c>
      <c r="AT349" s="144" t="s">
        <v>243</v>
      </c>
      <c r="AU349" s="144">
        <v>0</v>
      </c>
      <c r="AW349" s="144"/>
      <c r="AX349" s="144"/>
      <c r="AY349" s="144" t="s">
        <v>220</v>
      </c>
    </row>
    <row r="350" spans="3:51">
      <c r="C350">
        <v>6038</v>
      </c>
      <c r="D350" s="145">
        <v>64</v>
      </c>
      <c r="E350" s="145">
        <v>10.01</v>
      </c>
      <c r="I350">
        <f t="shared" si="3"/>
        <v>0.25024999999999997</v>
      </c>
      <c r="K350" s="145" t="s">
        <v>226</v>
      </c>
      <c r="L350" s="145">
        <v>0</v>
      </c>
      <c r="M350" s="145">
        <v>40</v>
      </c>
      <c r="N350" s="145">
        <v>4</v>
      </c>
      <c r="P350" s="145">
        <v>1</v>
      </c>
      <c r="Q350" s="145"/>
      <c r="X350" s="145" t="s">
        <v>254</v>
      </c>
      <c r="Y350" s="145">
        <v>1</v>
      </c>
      <c r="Z350" s="145"/>
      <c r="AL350" s="145">
        <v>2</v>
      </c>
      <c r="AO350" s="145">
        <v>1</v>
      </c>
      <c r="AP350" s="145" t="s">
        <v>240</v>
      </c>
      <c r="AQ350" s="145"/>
      <c r="AS350" s="145"/>
      <c r="AT350" s="145"/>
      <c r="AU350" s="145">
        <v>0</v>
      </c>
      <c r="AW350" s="145"/>
      <c r="AX350" s="145"/>
      <c r="AY350" s="145" t="s">
        <v>239</v>
      </c>
    </row>
    <row r="351" spans="3:51">
      <c r="C351">
        <v>6039</v>
      </c>
      <c r="D351" s="145">
        <v>62</v>
      </c>
      <c r="E351" s="145">
        <v>11</v>
      </c>
      <c r="I351">
        <f t="shared" si="3"/>
        <v>0.5641025641025641</v>
      </c>
      <c r="K351" s="145" t="s">
        <v>231</v>
      </c>
      <c r="L351" s="145">
        <v>1</v>
      </c>
      <c r="M351" s="145">
        <v>19.5</v>
      </c>
      <c r="N351" s="145">
        <v>3</v>
      </c>
      <c r="P351" s="145"/>
      <c r="Q351" s="145"/>
      <c r="X351" s="145" t="s">
        <v>249</v>
      </c>
      <c r="Y351" s="145">
        <v>1</v>
      </c>
      <c r="Z351" s="145">
        <v>42</v>
      </c>
      <c r="AL351" s="145">
        <v>1</v>
      </c>
      <c r="AO351" s="145">
        <v>1</v>
      </c>
      <c r="AP351" s="145" t="s">
        <v>240</v>
      </c>
      <c r="AQ351" s="145">
        <v>0</v>
      </c>
      <c r="AS351" s="145"/>
      <c r="AT351" s="145"/>
      <c r="AU351" s="145">
        <v>0</v>
      </c>
      <c r="AW351" s="145"/>
      <c r="AX351" s="145"/>
      <c r="AY351" s="145">
        <v>2</v>
      </c>
    </row>
    <row r="352" spans="3:51">
      <c r="C352">
        <v>6040</v>
      </c>
      <c r="D352" s="145">
        <v>72</v>
      </c>
      <c r="E352" s="145">
        <v>17</v>
      </c>
      <c r="I352">
        <f t="shared" si="3"/>
        <v>0.24709302325581398</v>
      </c>
      <c r="K352" s="145" t="s">
        <v>226</v>
      </c>
      <c r="L352" s="145">
        <v>0</v>
      </c>
      <c r="M352" s="145">
        <v>68.8</v>
      </c>
      <c r="N352" s="145">
        <v>5</v>
      </c>
      <c r="P352" s="145"/>
      <c r="Q352" s="145"/>
      <c r="X352" s="145" t="s">
        <v>252</v>
      </c>
      <c r="Y352" s="145">
        <v>2</v>
      </c>
      <c r="Z352" s="145"/>
      <c r="AL352" s="145">
        <v>1</v>
      </c>
      <c r="AO352" s="145">
        <v>1</v>
      </c>
      <c r="AP352" s="145" t="s">
        <v>240</v>
      </c>
      <c r="AQ352" s="145">
        <v>1</v>
      </c>
      <c r="AS352" s="145" t="s">
        <v>242</v>
      </c>
      <c r="AT352" s="145" t="s">
        <v>243</v>
      </c>
      <c r="AU352" s="145">
        <v>0</v>
      </c>
      <c r="AW352" s="145"/>
      <c r="AX352" s="145"/>
      <c r="AY352" s="145">
        <v>2</v>
      </c>
    </row>
    <row r="353" spans="3:51">
      <c r="C353">
        <v>6041</v>
      </c>
      <c r="D353" s="145">
        <v>72</v>
      </c>
      <c r="E353" s="145">
        <v>4.08</v>
      </c>
      <c r="I353">
        <f t="shared" si="3"/>
        <v>7.2987477638640427E-2</v>
      </c>
      <c r="K353" s="145" t="s">
        <v>231</v>
      </c>
      <c r="L353" s="145">
        <v>1</v>
      </c>
      <c r="M353" s="145">
        <v>55.9</v>
      </c>
      <c r="N353" s="145">
        <v>5</v>
      </c>
      <c r="P353" s="145">
        <v>1</v>
      </c>
      <c r="Q353" s="145"/>
      <c r="X353" s="145" t="s">
        <v>261</v>
      </c>
      <c r="Y353" s="145">
        <v>2</v>
      </c>
      <c r="Z353" s="145">
        <v>100</v>
      </c>
      <c r="AL353" s="145">
        <v>2</v>
      </c>
      <c r="AO353" s="145">
        <v>1</v>
      </c>
      <c r="AP353" s="145" t="s">
        <v>240</v>
      </c>
      <c r="AQ353" s="145">
        <v>1</v>
      </c>
      <c r="AS353" s="145" t="s">
        <v>242</v>
      </c>
      <c r="AT353" s="145" t="s">
        <v>243</v>
      </c>
      <c r="AU353" s="145">
        <v>0</v>
      </c>
      <c r="AW353" s="145"/>
      <c r="AX353" s="145"/>
      <c r="AY353" s="145" t="s">
        <v>220</v>
      </c>
    </row>
    <row r="354" spans="3:51">
      <c r="C354">
        <v>6042</v>
      </c>
      <c r="D354" s="145">
        <v>55</v>
      </c>
      <c r="E354" s="145">
        <v>7.49</v>
      </c>
      <c r="I354">
        <f t="shared" si="3"/>
        <v>0.16644444444444445</v>
      </c>
      <c r="K354" s="145" t="s">
        <v>233</v>
      </c>
      <c r="L354" s="145">
        <v>1</v>
      </c>
      <c r="M354" s="145">
        <v>45</v>
      </c>
      <c r="N354" s="145">
        <v>4</v>
      </c>
      <c r="P354" s="145"/>
      <c r="Q354" s="145"/>
      <c r="X354" s="145"/>
      <c r="Y354" s="145">
        <v>2</v>
      </c>
      <c r="Z354" s="145">
        <v>80</v>
      </c>
      <c r="AL354" s="145">
        <v>2</v>
      </c>
      <c r="AO354" s="145">
        <v>1</v>
      </c>
      <c r="AP354" s="145">
        <v>0</v>
      </c>
      <c r="AQ354" s="145">
        <v>1</v>
      </c>
      <c r="AS354" s="145" t="s">
        <v>243</v>
      </c>
      <c r="AT354" s="145" t="s">
        <v>242</v>
      </c>
      <c r="AU354" s="145">
        <v>1</v>
      </c>
      <c r="AW354" s="145" t="s">
        <v>242</v>
      </c>
      <c r="AX354" s="145" t="s">
        <v>243</v>
      </c>
      <c r="AY354" s="145" t="s">
        <v>221</v>
      </c>
    </row>
    <row r="355" spans="3:51">
      <c r="C355">
        <v>6043</v>
      </c>
      <c r="D355" s="145">
        <v>58</v>
      </c>
      <c r="E355" s="145">
        <v>12</v>
      </c>
      <c r="I355">
        <f t="shared" si="3"/>
        <v>0.48</v>
      </c>
      <c r="K355" s="145" t="s">
        <v>231</v>
      </c>
      <c r="L355" s="145">
        <v>1</v>
      </c>
      <c r="M355" s="145">
        <v>25</v>
      </c>
      <c r="N355" s="145">
        <v>5</v>
      </c>
      <c r="P355" s="145">
        <v>0</v>
      </c>
      <c r="Q355" s="145" t="s">
        <v>139</v>
      </c>
      <c r="X355" s="145" t="s">
        <v>252</v>
      </c>
      <c r="Y355" s="145">
        <v>2</v>
      </c>
      <c r="Z355" s="145"/>
      <c r="AL355" s="145">
        <v>5</v>
      </c>
      <c r="AO355" s="145" t="s">
        <v>241</v>
      </c>
      <c r="AP355" s="145">
        <v>0</v>
      </c>
      <c r="AQ355" s="145">
        <v>1</v>
      </c>
      <c r="AS355" s="145"/>
      <c r="AT355" s="145"/>
      <c r="AU355" s="145">
        <v>0</v>
      </c>
      <c r="AW355" s="145"/>
      <c r="AX355" s="145"/>
      <c r="AY355" s="145" t="s">
        <v>221</v>
      </c>
    </row>
    <row r="356" spans="3:51">
      <c r="C356">
        <v>6044</v>
      </c>
      <c r="D356" s="144">
        <v>73</v>
      </c>
      <c r="E356" s="144">
        <v>4.5</v>
      </c>
      <c r="I356">
        <f t="shared" si="3"/>
        <v>0.22500000000000001</v>
      </c>
      <c r="K356" s="144" t="s">
        <v>231</v>
      </c>
      <c r="L356" s="144">
        <v>1</v>
      </c>
      <c r="M356" s="144">
        <v>20</v>
      </c>
      <c r="N356" s="144"/>
      <c r="P356" s="144"/>
      <c r="Q356" s="144"/>
      <c r="X356" s="144"/>
      <c r="Y356" s="144">
        <v>1</v>
      </c>
      <c r="Z356" s="144"/>
      <c r="AL356" s="144">
        <v>1</v>
      </c>
      <c r="AO356" s="144">
        <v>0</v>
      </c>
      <c r="AP356" s="144">
        <v>0</v>
      </c>
      <c r="AQ356" s="144">
        <v>0</v>
      </c>
      <c r="AS356" s="144"/>
      <c r="AT356" s="144"/>
      <c r="AU356" s="144">
        <v>0</v>
      </c>
      <c r="AW356" s="144"/>
      <c r="AX356" s="144"/>
      <c r="AY356" s="144">
        <v>2</v>
      </c>
    </row>
    <row r="357" spans="3:51">
      <c r="C357">
        <v>6045</v>
      </c>
      <c r="D357" s="144">
        <v>75</v>
      </c>
      <c r="E357" s="144">
        <v>9.42</v>
      </c>
      <c r="I357">
        <f t="shared" si="3"/>
        <v>0.314</v>
      </c>
      <c r="K357" s="144" t="s">
        <v>226</v>
      </c>
      <c r="L357" s="144">
        <v>0</v>
      </c>
      <c r="M357" s="144">
        <v>30</v>
      </c>
      <c r="N357" s="144">
        <v>5</v>
      </c>
      <c r="P357" s="144"/>
      <c r="Q357" s="144"/>
      <c r="X357" s="144" t="s">
        <v>265</v>
      </c>
      <c r="Y357" s="144">
        <v>1</v>
      </c>
      <c r="Z357" s="144"/>
      <c r="AL357" s="144">
        <v>1</v>
      </c>
      <c r="AO357" s="144">
        <v>0</v>
      </c>
      <c r="AP357" s="144" t="s">
        <v>240</v>
      </c>
      <c r="AQ357" s="144">
        <v>0</v>
      </c>
      <c r="AS357" s="144"/>
      <c r="AT357" s="144"/>
      <c r="AU357" s="144">
        <v>0</v>
      </c>
      <c r="AW357" s="144"/>
      <c r="AX357" s="144"/>
      <c r="AY357" s="144" t="s">
        <v>239</v>
      </c>
    </row>
    <row r="358" spans="3:51">
      <c r="C358">
        <v>6046</v>
      </c>
      <c r="D358" s="144">
        <v>70</v>
      </c>
      <c r="E358" s="144">
        <v>8.4700000000000006</v>
      </c>
      <c r="I358">
        <f t="shared" si="3"/>
        <v>0.24200000000000002</v>
      </c>
      <c r="K358" s="144" t="s">
        <v>226</v>
      </c>
      <c r="L358" s="144">
        <v>0</v>
      </c>
      <c r="M358" s="144">
        <v>35</v>
      </c>
      <c r="N358" s="144">
        <v>5</v>
      </c>
      <c r="P358" s="144"/>
      <c r="Q358" s="144"/>
      <c r="X358" s="144" t="s">
        <v>255</v>
      </c>
      <c r="Y358" s="144">
        <v>2</v>
      </c>
      <c r="Z358" s="144">
        <v>70</v>
      </c>
      <c r="AL358" s="144">
        <v>2</v>
      </c>
      <c r="AO358" s="144">
        <v>0</v>
      </c>
      <c r="AP358" s="144" t="s">
        <v>240</v>
      </c>
      <c r="AQ358" s="144">
        <v>1</v>
      </c>
      <c r="AS358" s="144" t="s">
        <v>243</v>
      </c>
      <c r="AT358" s="144" t="s">
        <v>242</v>
      </c>
      <c r="AU358" s="144">
        <v>0</v>
      </c>
      <c r="AW358" s="144"/>
      <c r="AX358" s="144"/>
      <c r="AY358" s="144" t="s">
        <v>220</v>
      </c>
    </row>
    <row r="359" spans="3:51">
      <c r="C359">
        <v>6047</v>
      </c>
      <c r="D359" s="145">
        <v>55</v>
      </c>
      <c r="E359" s="145">
        <v>12</v>
      </c>
      <c r="I359">
        <f t="shared" si="3"/>
        <v>0.29197080291970801</v>
      </c>
      <c r="K359" s="145" t="s">
        <v>233</v>
      </c>
      <c r="L359" s="145">
        <v>1</v>
      </c>
      <c r="M359" s="145">
        <v>41.1</v>
      </c>
      <c r="N359" s="145">
        <v>5</v>
      </c>
      <c r="P359" s="145">
        <v>0</v>
      </c>
      <c r="Q359" s="145"/>
      <c r="X359" s="145" t="s">
        <v>266</v>
      </c>
      <c r="Y359" s="145">
        <v>1</v>
      </c>
      <c r="Z359" s="145">
        <v>80</v>
      </c>
      <c r="AL359" s="145">
        <v>1</v>
      </c>
      <c r="AO359" s="145" t="s">
        <v>241</v>
      </c>
      <c r="AP359" s="145" t="s">
        <v>240</v>
      </c>
      <c r="AQ359" s="145">
        <v>1</v>
      </c>
      <c r="AS359" s="145"/>
      <c r="AT359" s="145"/>
      <c r="AU359" s="145">
        <v>0</v>
      </c>
      <c r="AW359" s="145"/>
      <c r="AX359" s="145"/>
      <c r="AY359" s="145" t="s">
        <v>220</v>
      </c>
    </row>
    <row r="360" spans="3:51">
      <c r="C360">
        <v>6048</v>
      </c>
      <c r="D360" s="144">
        <v>77</v>
      </c>
      <c r="E360" s="144">
        <v>9.48</v>
      </c>
      <c r="I360">
        <f t="shared" si="3"/>
        <v>8.9857819905213271E-2</v>
      </c>
      <c r="K360" s="144"/>
      <c r="L360" s="144"/>
      <c r="M360" s="144">
        <v>105.5</v>
      </c>
      <c r="N360" s="144">
        <v>5</v>
      </c>
      <c r="P360" s="144">
        <v>1</v>
      </c>
      <c r="Q360" s="144"/>
      <c r="X360" s="144" t="s">
        <v>247</v>
      </c>
      <c r="Y360" s="144">
        <v>3</v>
      </c>
      <c r="Z360" s="144">
        <v>70</v>
      </c>
      <c r="AL360" s="144">
        <v>3</v>
      </c>
      <c r="AO360" s="144">
        <v>0</v>
      </c>
      <c r="AP360" s="144" t="s">
        <v>240</v>
      </c>
      <c r="AQ360" s="144">
        <v>0</v>
      </c>
      <c r="AS360" s="144"/>
      <c r="AT360" s="144"/>
      <c r="AU360" s="144">
        <v>0</v>
      </c>
      <c r="AW360" s="144"/>
      <c r="AX360" s="144"/>
      <c r="AY360" s="144" t="s">
        <v>239</v>
      </c>
    </row>
    <row r="361" spans="3:51">
      <c r="C361">
        <v>6049</v>
      </c>
      <c r="D361" s="144">
        <v>75</v>
      </c>
      <c r="E361" s="144">
        <v>5.0999999999999996</v>
      </c>
      <c r="I361">
        <f t="shared" si="3"/>
        <v>9.4444444444444442E-2</v>
      </c>
      <c r="K361" s="144" t="s">
        <v>226</v>
      </c>
      <c r="L361" s="144">
        <v>0</v>
      </c>
      <c r="M361" s="144">
        <v>54</v>
      </c>
      <c r="N361" s="144">
        <v>4</v>
      </c>
      <c r="P361" s="144">
        <v>1</v>
      </c>
      <c r="Q361" s="144"/>
      <c r="X361" s="144" t="s">
        <v>257</v>
      </c>
      <c r="Y361" s="144">
        <v>3</v>
      </c>
      <c r="Z361" s="144">
        <v>50</v>
      </c>
      <c r="AL361" s="144">
        <v>2</v>
      </c>
      <c r="AO361" s="144">
        <v>0</v>
      </c>
      <c r="AP361" s="144">
        <v>0</v>
      </c>
      <c r="AQ361" s="144">
        <v>1</v>
      </c>
      <c r="AS361" s="144" t="s">
        <v>243</v>
      </c>
      <c r="AT361" s="144" t="s">
        <v>242</v>
      </c>
      <c r="AU361" s="144">
        <v>0</v>
      </c>
      <c r="AW361" s="144"/>
      <c r="AX361" s="144"/>
      <c r="AY361" s="144" t="s">
        <v>220</v>
      </c>
    </row>
    <row r="362" spans="3:51">
      <c r="C362">
        <v>6050</v>
      </c>
      <c r="D362" s="144">
        <v>74</v>
      </c>
      <c r="E362" s="144">
        <v>6.4</v>
      </c>
      <c r="I362">
        <f t="shared" si="3"/>
        <v>0.12307692307692308</v>
      </c>
      <c r="K362" s="144" t="s">
        <v>226</v>
      </c>
      <c r="L362" s="144">
        <v>0</v>
      </c>
      <c r="M362" s="144">
        <v>52</v>
      </c>
      <c r="N362" s="144">
        <v>4</v>
      </c>
      <c r="P362" s="144">
        <v>1</v>
      </c>
      <c r="Q362" s="144"/>
      <c r="X362" s="144" t="s">
        <v>267</v>
      </c>
      <c r="Y362" s="144">
        <v>1</v>
      </c>
      <c r="Z362" s="144">
        <v>50</v>
      </c>
      <c r="AL362" s="144">
        <v>2</v>
      </c>
      <c r="AO362" s="144">
        <v>0</v>
      </c>
      <c r="AP362" s="144" t="s">
        <v>240</v>
      </c>
      <c r="AQ362" s="144">
        <v>0</v>
      </c>
      <c r="AS362" s="144"/>
      <c r="AT362" s="144"/>
      <c r="AU362" s="144">
        <v>0</v>
      </c>
      <c r="AW362" s="144"/>
      <c r="AX362" s="144"/>
      <c r="AY362" s="144">
        <v>2</v>
      </c>
    </row>
    <row r="363" spans="3:51">
      <c r="C363">
        <v>6051</v>
      </c>
      <c r="D363" s="145">
        <v>72</v>
      </c>
      <c r="E363" s="145">
        <v>12</v>
      </c>
      <c r="I363">
        <f t="shared" si="3"/>
        <v>0.30534351145038169</v>
      </c>
      <c r="K363" s="145" t="s">
        <v>231</v>
      </c>
      <c r="L363" s="145">
        <v>1</v>
      </c>
      <c r="M363" s="145">
        <v>39.299999999999997</v>
      </c>
      <c r="N363" s="145">
        <v>4</v>
      </c>
      <c r="P363" s="145">
        <v>1</v>
      </c>
      <c r="Q363" s="145"/>
      <c r="X363" s="145" t="s">
        <v>262</v>
      </c>
      <c r="Y363" s="145">
        <v>2</v>
      </c>
      <c r="Z363" s="145">
        <v>100</v>
      </c>
      <c r="AL363" s="145">
        <v>4</v>
      </c>
      <c r="AO363" s="145">
        <v>1</v>
      </c>
      <c r="AP363" s="145">
        <v>0</v>
      </c>
      <c r="AQ363" s="145">
        <v>1</v>
      </c>
      <c r="AS363" s="145" t="s">
        <v>243</v>
      </c>
      <c r="AT363" s="145" t="s">
        <v>242</v>
      </c>
      <c r="AU363" s="145">
        <v>1</v>
      </c>
      <c r="AW363" s="145" t="s">
        <v>243</v>
      </c>
      <c r="AX363" s="145" t="s">
        <v>242</v>
      </c>
      <c r="AY363" s="145" t="s">
        <v>221</v>
      </c>
    </row>
    <row r="364" spans="3:51">
      <c r="C364">
        <v>6052</v>
      </c>
      <c r="D364" s="145">
        <v>72</v>
      </c>
      <c r="E364" s="145">
        <v>4.28</v>
      </c>
      <c r="I364">
        <f t="shared" si="3"/>
        <v>0.15285714285714286</v>
      </c>
      <c r="K364" s="145" t="s">
        <v>234</v>
      </c>
      <c r="L364" s="145">
        <v>1</v>
      </c>
      <c r="M364" s="145">
        <v>28</v>
      </c>
      <c r="N364" s="145">
        <v>4</v>
      </c>
      <c r="P364" s="145">
        <v>1</v>
      </c>
      <c r="Q364" s="145"/>
      <c r="X364" s="145" t="s">
        <v>245</v>
      </c>
      <c r="Y364" s="145">
        <v>1</v>
      </c>
      <c r="Z364" s="145">
        <v>50</v>
      </c>
      <c r="AL364" s="145">
        <v>2</v>
      </c>
      <c r="AO364" s="145">
        <v>1</v>
      </c>
      <c r="AP364" s="145" t="s">
        <v>240</v>
      </c>
      <c r="AQ364" s="145">
        <v>0</v>
      </c>
      <c r="AS364" s="145"/>
      <c r="AT364" s="145"/>
      <c r="AU364" s="145">
        <v>0</v>
      </c>
      <c r="AW364" s="145"/>
      <c r="AX364" s="145"/>
      <c r="AY364" s="145">
        <v>2</v>
      </c>
    </row>
    <row r="365" spans="3:51">
      <c r="C365">
        <v>6053</v>
      </c>
      <c r="D365" s="144">
        <v>69</v>
      </c>
      <c r="E365" s="144">
        <v>7.73</v>
      </c>
      <c r="I365">
        <f t="shared" si="3"/>
        <v>6.4957983193277308E-2</v>
      </c>
      <c r="K365" s="144" t="s">
        <v>226</v>
      </c>
      <c r="L365" s="144">
        <v>0</v>
      </c>
      <c r="M365" s="144">
        <v>119</v>
      </c>
      <c r="N365" s="144">
        <v>4</v>
      </c>
      <c r="P365" s="144">
        <v>1</v>
      </c>
      <c r="Q365" s="144"/>
      <c r="X365" s="144" t="s">
        <v>249</v>
      </c>
      <c r="Y365" s="144">
        <v>1</v>
      </c>
      <c r="Z365" s="144">
        <v>30</v>
      </c>
      <c r="AL365" s="144">
        <v>2</v>
      </c>
      <c r="AO365" s="144">
        <v>0</v>
      </c>
      <c r="AP365" s="144" t="s">
        <v>240</v>
      </c>
      <c r="AQ365" s="144">
        <v>1</v>
      </c>
      <c r="AS365" s="144" t="s">
        <v>242</v>
      </c>
      <c r="AT365" s="144" t="s">
        <v>243</v>
      </c>
      <c r="AU365" s="144">
        <v>0</v>
      </c>
      <c r="AW365" s="144"/>
      <c r="AX365" s="144"/>
      <c r="AY365" s="144">
        <v>3</v>
      </c>
    </row>
    <row r="366" spans="3:51">
      <c r="C366">
        <v>6054</v>
      </c>
      <c r="D366" s="144">
        <v>71</v>
      </c>
      <c r="E366" s="144">
        <v>4.88</v>
      </c>
      <c r="I366">
        <f t="shared" si="3"/>
        <v>0.122</v>
      </c>
      <c r="K366" s="144" t="s">
        <v>234</v>
      </c>
      <c r="L366" s="144">
        <v>1</v>
      </c>
      <c r="M366" s="144">
        <v>40</v>
      </c>
      <c r="N366" s="144">
        <v>4</v>
      </c>
      <c r="P366" s="144">
        <v>1</v>
      </c>
      <c r="Q366" s="144"/>
      <c r="X366" s="144" t="s">
        <v>244</v>
      </c>
      <c r="Y366" s="144">
        <v>1</v>
      </c>
      <c r="Z366" s="144">
        <v>100</v>
      </c>
      <c r="AL366" s="144">
        <v>1</v>
      </c>
      <c r="AO366" s="144">
        <v>0</v>
      </c>
      <c r="AP366" s="144" t="s">
        <v>240</v>
      </c>
      <c r="AQ366" s="144">
        <v>0</v>
      </c>
      <c r="AS366" s="144"/>
      <c r="AT366" s="144"/>
      <c r="AU366" s="144">
        <v>0</v>
      </c>
      <c r="AW366" s="144"/>
      <c r="AX366" s="144"/>
      <c r="AY366" s="144" t="s">
        <v>239</v>
      </c>
    </row>
    <row r="367" spans="3:51">
      <c r="C367">
        <v>6055</v>
      </c>
      <c r="D367" s="145">
        <v>63</v>
      </c>
      <c r="E367" s="145">
        <v>12</v>
      </c>
      <c r="I367">
        <f t="shared" si="3"/>
        <v>0.4</v>
      </c>
      <c r="K367" s="145" t="s">
        <v>234</v>
      </c>
      <c r="L367" s="145">
        <v>1</v>
      </c>
      <c r="M367" s="145">
        <v>30</v>
      </c>
      <c r="N367" s="145" t="s">
        <v>235</v>
      </c>
      <c r="P367" s="145" t="s">
        <v>235</v>
      </c>
      <c r="Q367" s="145"/>
      <c r="X367" s="145"/>
      <c r="Y367" s="145"/>
      <c r="Z367" s="145"/>
      <c r="AL367" s="145">
        <v>2</v>
      </c>
      <c r="AO367" s="145" t="s">
        <v>241</v>
      </c>
      <c r="AP367" s="145" t="s">
        <v>240</v>
      </c>
      <c r="AQ367" s="145">
        <v>0</v>
      </c>
      <c r="AS367" s="145"/>
      <c r="AT367" s="145"/>
      <c r="AU367" s="145">
        <v>0</v>
      </c>
      <c r="AW367" s="145"/>
      <c r="AX367" s="145"/>
      <c r="AY367" s="145">
        <v>2</v>
      </c>
    </row>
    <row r="368" spans="3:51">
      <c r="C368">
        <v>6056</v>
      </c>
      <c r="D368" s="144">
        <v>57</v>
      </c>
      <c r="E368" s="144">
        <v>4.7</v>
      </c>
      <c r="I368">
        <f t="shared" si="3"/>
        <v>0.11750000000000001</v>
      </c>
      <c r="K368" s="144" t="s">
        <v>231</v>
      </c>
      <c r="L368" s="144">
        <v>1</v>
      </c>
      <c r="M368" s="144">
        <v>40</v>
      </c>
      <c r="N368" s="144">
        <v>4</v>
      </c>
      <c r="P368" s="144">
        <v>1</v>
      </c>
      <c r="Q368" s="144"/>
      <c r="X368" s="144" t="s">
        <v>254</v>
      </c>
      <c r="Y368" s="144">
        <v>2</v>
      </c>
      <c r="Z368" s="144">
        <v>60</v>
      </c>
      <c r="AL368" s="144">
        <v>2</v>
      </c>
      <c r="AO368" s="144">
        <v>0</v>
      </c>
      <c r="AP368" s="144">
        <v>0</v>
      </c>
      <c r="AQ368" s="144">
        <v>1</v>
      </c>
      <c r="AS368" s="144" t="s">
        <v>242</v>
      </c>
      <c r="AT368" s="144" t="s">
        <v>243</v>
      </c>
      <c r="AU368" s="144">
        <v>0</v>
      </c>
      <c r="AW368" s="144"/>
      <c r="AX368" s="144"/>
      <c r="AY368" s="144" t="s">
        <v>239</v>
      </c>
    </row>
    <row r="369" spans="3:51">
      <c r="C369">
        <v>6057</v>
      </c>
      <c r="D369" s="144">
        <v>75</v>
      </c>
      <c r="E369" s="144">
        <v>6.14</v>
      </c>
      <c r="I369">
        <f t="shared" si="3"/>
        <v>0.12791666666666665</v>
      </c>
      <c r="K369" s="144" t="s">
        <v>231</v>
      </c>
      <c r="L369" s="144">
        <v>1</v>
      </c>
      <c r="M369" s="144">
        <v>48</v>
      </c>
      <c r="N369" s="144">
        <v>4</v>
      </c>
      <c r="P369" s="144">
        <v>1</v>
      </c>
      <c r="Q369" s="144"/>
      <c r="X369" s="144" t="s">
        <v>254</v>
      </c>
      <c r="Y369" s="144">
        <v>2</v>
      </c>
      <c r="Z369" s="144">
        <v>25</v>
      </c>
      <c r="AL369" s="144">
        <v>2</v>
      </c>
      <c r="AO369" s="144">
        <v>0</v>
      </c>
      <c r="AP369" s="144">
        <v>0</v>
      </c>
      <c r="AQ369" s="144">
        <v>0</v>
      </c>
      <c r="AS369" s="144"/>
      <c r="AT369" s="144"/>
      <c r="AU369" s="144">
        <v>0</v>
      </c>
      <c r="AW369" s="144"/>
      <c r="AX369" s="144"/>
      <c r="AY369" s="144">
        <v>2</v>
      </c>
    </row>
    <row r="370" spans="3:51">
      <c r="C370">
        <v>6058</v>
      </c>
      <c r="D370" s="144">
        <v>74</v>
      </c>
      <c r="E370" s="144">
        <v>22</v>
      </c>
      <c r="I370">
        <f t="shared" si="3"/>
        <v>0.73333333333333328</v>
      </c>
      <c r="K370" s="144" t="s">
        <v>231</v>
      </c>
      <c r="L370" s="144">
        <v>1</v>
      </c>
      <c r="M370" s="144">
        <v>30</v>
      </c>
      <c r="N370" s="144">
        <v>5</v>
      </c>
      <c r="P370" s="144"/>
      <c r="Q370" s="144"/>
      <c r="X370" s="144" t="s">
        <v>258</v>
      </c>
      <c r="Y370" s="144">
        <v>5</v>
      </c>
      <c r="Z370" s="144">
        <v>100</v>
      </c>
      <c r="AL370" s="144">
        <v>3</v>
      </c>
      <c r="AO370" s="144">
        <v>0</v>
      </c>
      <c r="AP370" s="144">
        <v>1</v>
      </c>
      <c r="AQ370" s="144">
        <v>1</v>
      </c>
      <c r="AS370" s="144"/>
      <c r="AT370" s="144"/>
      <c r="AU370" s="144">
        <v>1</v>
      </c>
      <c r="AW370" s="144"/>
      <c r="AX370" s="144"/>
      <c r="AY370" s="144" t="s">
        <v>221</v>
      </c>
    </row>
    <row r="371" spans="3:51">
      <c r="C371">
        <v>6059</v>
      </c>
      <c r="D371" s="144">
        <v>74</v>
      </c>
      <c r="E371" s="144">
        <v>11</v>
      </c>
      <c r="I371">
        <f t="shared" si="3"/>
        <v>0.37931034482758619</v>
      </c>
      <c r="K371" s="144" t="s">
        <v>231</v>
      </c>
      <c r="L371" s="144">
        <v>1</v>
      </c>
      <c r="M371" s="144">
        <v>29</v>
      </c>
      <c r="N371" s="144" t="s">
        <v>235</v>
      </c>
      <c r="P371" s="144" t="s">
        <v>235</v>
      </c>
      <c r="Q371" s="144"/>
      <c r="X371" s="144"/>
      <c r="Y371" s="144">
        <v>1</v>
      </c>
      <c r="Z371" s="144"/>
      <c r="AL371" s="144">
        <v>2</v>
      </c>
      <c r="AO371" s="144">
        <v>0</v>
      </c>
      <c r="AP371" s="144" t="s">
        <v>240</v>
      </c>
      <c r="AQ371" s="144">
        <v>0</v>
      </c>
      <c r="AS371" s="144"/>
      <c r="AT371" s="144"/>
      <c r="AU371" s="144">
        <v>0</v>
      </c>
      <c r="AW371" s="144"/>
      <c r="AX371" s="144"/>
      <c r="AY371" s="144" t="s">
        <v>239</v>
      </c>
    </row>
    <row r="372" spans="3:51">
      <c r="C372">
        <v>6060</v>
      </c>
      <c r="D372" s="145">
        <v>69</v>
      </c>
      <c r="E372" s="145">
        <v>13.6</v>
      </c>
      <c r="I372">
        <f t="shared" si="3"/>
        <v>0.39999999999999997</v>
      </c>
      <c r="K372" s="145" t="s">
        <v>230</v>
      </c>
      <c r="L372" s="145">
        <v>1</v>
      </c>
      <c r="M372" s="145">
        <v>34</v>
      </c>
      <c r="N372" s="145">
        <v>5</v>
      </c>
      <c r="P372" s="145"/>
      <c r="Q372" s="145"/>
      <c r="X372" s="145" t="s">
        <v>246</v>
      </c>
      <c r="Y372" s="145">
        <v>2</v>
      </c>
      <c r="Z372" s="145"/>
      <c r="AL372" s="145">
        <v>5</v>
      </c>
      <c r="AO372" s="145">
        <v>1</v>
      </c>
      <c r="AP372" s="145" t="s">
        <v>240</v>
      </c>
      <c r="AQ372" s="145">
        <v>1</v>
      </c>
      <c r="AS372" s="145"/>
      <c r="AT372" s="145"/>
      <c r="AU372" s="145">
        <v>1</v>
      </c>
      <c r="AW372" s="145"/>
      <c r="AX372" s="145"/>
      <c r="AY372" s="145" t="s">
        <v>221</v>
      </c>
    </row>
    <row r="373" spans="3:51">
      <c r="C373">
        <v>6061</v>
      </c>
      <c r="D373" s="144">
        <v>67</v>
      </c>
      <c r="E373" s="144">
        <v>7.8</v>
      </c>
      <c r="I373">
        <f t="shared" si="3"/>
        <v>0.27857142857142858</v>
      </c>
      <c r="K373" s="144" t="s">
        <v>231</v>
      </c>
      <c r="L373" s="144">
        <v>1</v>
      </c>
      <c r="M373" s="144">
        <v>28</v>
      </c>
      <c r="N373" s="144">
        <v>4</v>
      </c>
      <c r="P373" s="144">
        <v>1</v>
      </c>
      <c r="Q373" s="144"/>
      <c r="X373" s="144" t="s">
        <v>254</v>
      </c>
      <c r="Y373" s="144">
        <v>1</v>
      </c>
      <c r="Z373" s="147" t="s">
        <v>269</v>
      </c>
      <c r="AL373" s="144">
        <v>1</v>
      </c>
      <c r="AO373" s="144">
        <v>0</v>
      </c>
      <c r="AP373" s="144" t="s">
        <v>240</v>
      </c>
      <c r="AQ373" s="144">
        <v>0</v>
      </c>
      <c r="AS373" s="144"/>
      <c r="AT373" s="144"/>
      <c r="AU373" s="144">
        <v>0</v>
      </c>
      <c r="AW373" s="144"/>
      <c r="AX373" s="144"/>
      <c r="AY373" s="144">
        <v>2</v>
      </c>
    </row>
    <row r="374" spans="3:51">
      <c r="C374">
        <v>6062</v>
      </c>
      <c r="D374" s="145">
        <v>69</v>
      </c>
      <c r="E374" s="145">
        <v>8.1999999999999993</v>
      </c>
      <c r="I374">
        <f t="shared" si="3"/>
        <v>0.22777777777777775</v>
      </c>
      <c r="K374" s="145" t="s">
        <v>226</v>
      </c>
      <c r="L374" s="145">
        <v>0</v>
      </c>
      <c r="M374" s="145">
        <v>36</v>
      </c>
      <c r="N374" s="145">
        <v>5</v>
      </c>
      <c r="P374" s="145"/>
      <c r="Q374" s="145"/>
      <c r="X374" s="145" t="s">
        <v>261</v>
      </c>
      <c r="Y374" s="145">
        <v>1</v>
      </c>
      <c r="Z374" s="145">
        <v>80</v>
      </c>
      <c r="AL374" s="145">
        <v>5</v>
      </c>
      <c r="AO374" s="145">
        <v>1</v>
      </c>
      <c r="AP374" s="145" t="s">
        <v>240</v>
      </c>
      <c r="AQ374" s="145">
        <v>1</v>
      </c>
      <c r="AS374" s="145" t="s">
        <v>243</v>
      </c>
      <c r="AT374" s="145" t="s">
        <v>242</v>
      </c>
      <c r="AU374" s="145">
        <v>1</v>
      </c>
      <c r="AW374" s="145" t="s">
        <v>243</v>
      </c>
      <c r="AX374" s="145" t="s">
        <v>242</v>
      </c>
      <c r="AY374" s="145" t="s">
        <v>221</v>
      </c>
    </row>
    <row r="375" spans="3:51">
      <c r="C375">
        <v>6063</v>
      </c>
      <c r="D375" s="145">
        <v>66</v>
      </c>
      <c r="E375" s="145">
        <v>4.95</v>
      </c>
      <c r="I375">
        <f t="shared" si="3"/>
        <v>0.1767857142857143</v>
      </c>
      <c r="K375" s="145"/>
      <c r="L375" s="145">
        <v>0</v>
      </c>
      <c r="M375" s="145">
        <v>28</v>
      </c>
      <c r="N375" s="145"/>
      <c r="P375" s="145">
        <v>0</v>
      </c>
      <c r="Q375" s="145" t="s">
        <v>236</v>
      </c>
      <c r="X375" s="145" t="s">
        <v>247</v>
      </c>
      <c r="Y375" s="145">
        <v>1</v>
      </c>
      <c r="Z375" s="145">
        <v>40</v>
      </c>
      <c r="AL375" s="145">
        <v>2</v>
      </c>
      <c r="AO375" s="145">
        <v>1</v>
      </c>
      <c r="AP375" s="145">
        <v>0</v>
      </c>
      <c r="AQ375" s="145">
        <v>1</v>
      </c>
      <c r="AS375" s="145" t="s">
        <v>243</v>
      </c>
      <c r="AT375" s="145" t="s">
        <v>242</v>
      </c>
      <c r="AU375" s="145">
        <v>0</v>
      </c>
      <c r="AW375" s="145"/>
      <c r="AX375" s="145"/>
      <c r="AY375" s="145" t="s">
        <v>220</v>
      </c>
    </row>
    <row r="376" spans="3:51">
      <c r="C376">
        <v>6064</v>
      </c>
      <c r="D376" s="145">
        <v>56</v>
      </c>
      <c r="E376" s="145">
        <v>5.4</v>
      </c>
      <c r="I376">
        <f t="shared" si="3"/>
        <v>9.818181818181819E-2</v>
      </c>
      <c r="K376" s="145" t="s">
        <v>234</v>
      </c>
      <c r="L376" s="145">
        <v>1</v>
      </c>
      <c r="M376" s="145">
        <v>55</v>
      </c>
      <c r="N376" s="145">
        <v>5</v>
      </c>
      <c r="P376" s="145">
        <v>0</v>
      </c>
      <c r="Q376" s="145" t="s">
        <v>48</v>
      </c>
      <c r="X376" s="145" t="s">
        <v>268</v>
      </c>
      <c r="Y376" s="145">
        <v>1</v>
      </c>
      <c r="Z376" s="145"/>
      <c r="AL376" s="145">
        <v>2</v>
      </c>
      <c r="AO376" s="145">
        <v>1</v>
      </c>
      <c r="AP376" s="145" t="s">
        <v>240</v>
      </c>
      <c r="AQ376" s="145">
        <v>1</v>
      </c>
      <c r="AS376" s="145" t="s">
        <v>242</v>
      </c>
      <c r="AT376" s="145" t="s">
        <v>243</v>
      </c>
      <c r="AU376" s="145">
        <v>0</v>
      </c>
      <c r="AW376" s="145"/>
      <c r="AX376" s="145"/>
      <c r="AY376" s="145" t="s">
        <v>220</v>
      </c>
    </row>
    <row r="377" spans="3:51">
      <c r="C377">
        <v>6065</v>
      </c>
      <c r="D377" s="144">
        <v>73</v>
      </c>
      <c r="E377" s="144">
        <v>6.62</v>
      </c>
      <c r="I377">
        <f t="shared" si="3"/>
        <v>0.12191528545119706</v>
      </c>
      <c r="K377" s="144" t="s">
        <v>234</v>
      </c>
      <c r="L377" s="144">
        <v>1</v>
      </c>
      <c r="M377" s="144">
        <v>54.3</v>
      </c>
      <c r="N377" s="144">
        <v>5</v>
      </c>
      <c r="P377" s="144">
        <v>1</v>
      </c>
      <c r="Q377" s="144"/>
      <c r="X377" s="144" t="s">
        <v>244</v>
      </c>
      <c r="Y377" s="144">
        <v>1</v>
      </c>
      <c r="Z377" s="144">
        <v>60</v>
      </c>
      <c r="AL377" s="144">
        <v>2</v>
      </c>
      <c r="AO377" s="144">
        <v>0</v>
      </c>
      <c r="AP377" s="144" t="s">
        <v>240</v>
      </c>
      <c r="AQ377" s="144">
        <v>1</v>
      </c>
      <c r="AS377" s="144" t="s">
        <v>243</v>
      </c>
      <c r="AT377" s="144" t="s">
        <v>242</v>
      </c>
      <c r="AU377" s="144">
        <v>0</v>
      </c>
      <c r="AW377" s="144"/>
      <c r="AX377" s="144"/>
      <c r="AY377" s="144" t="s">
        <v>220</v>
      </c>
    </row>
    <row r="378" spans="3:51">
      <c r="C378">
        <v>6066</v>
      </c>
      <c r="D378" s="144">
        <v>68</v>
      </c>
      <c r="E378" s="144">
        <v>9.9</v>
      </c>
      <c r="I378">
        <f t="shared" si="3"/>
        <v>0.19800000000000001</v>
      </c>
      <c r="K378" s="144" t="s">
        <v>234</v>
      </c>
      <c r="L378" s="144">
        <v>1</v>
      </c>
      <c r="M378" s="144">
        <v>50</v>
      </c>
      <c r="N378" s="144">
        <v>4</v>
      </c>
      <c r="P378" s="144"/>
      <c r="Q378" s="144"/>
      <c r="X378" s="144" t="s">
        <v>245</v>
      </c>
      <c r="Y378" s="144">
        <v>3</v>
      </c>
      <c r="Z378" s="144">
        <v>40</v>
      </c>
      <c r="AL378" s="144">
        <v>2</v>
      </c>
      <c r="AO378" s="144">
        <v>0</v>
      </c>
      <c r="AP378" s="144">
        <v>0</v>
      </c>
      <c r="AQ378" s="144">
        <v>0</v>
      </c>
      <c r="AS378" s="144"/>
      <c r="AT378" s="144"/>
      <c r="AU378" s="144">
        <v>0</v>
      </c>
      <c r="AW378" s="144"/>
      <c r="AX378" s="144"/>
      <c r="AY378" s="144">
        <v>2</v>
      </c>
    </row>
    <row r="379" spans="3:51">
      <c r="C379">
        <v>6067</v>
      </c>
      <c r="D379" s="144">
        <v>65</v>
      </c>
      <c r="E379" s="144">
        <v>4.5</v>
      </c>
      <c r="I379">
        <f t="shared" si="3"/>
        <v>0.12162162162162163</v>
      </c>
      <c r="K379" s="144" t="s">
        <v>231</v>
      </c>
      <c r="L379" s="144"/>
      <c r="M379" s="144">
        <v>37</v>
      </c>
      <c r="N379" s="144">
        <v>5</v>
      </c>
      <c r="P379" s="144">
        <v>1</v>
      </c>
      <c r="Q379" s="144"/>
      <c r="X379" s="144" t="s">
        <v>252</v>
      </c>
      <c r="Y379" s="144">
        <v>2</v>
      </c>
      <c r="Z379" s="144">
        <v>70</v>
      </c>
      <c r="AL379" s="144">
        <v>2</v>
      </c>
      <c r="AO379" s="144">
        <v>0</v>
      </c>
      <c r="AP379" s="144" t="s">
        <v>240</v>
      </c>
      <c r="AQ379" s="144">
        <v>0</v>
      </c>
      <c r="AS379" s="144"/>
      <c r="AT379" s="144"/>
      <c r="AU379" s="144">
        <v>0</v>
      </c>
      <c r="AW379" s="144"/>
      <c r="AX379" s="144"/>
      <c r="AY379" s="144">
        <v>2</v>
      </c>
    </row>
    <row r="380" spans="3:51">
      <c r="C380">
        <v>6068</v>
      </c>
      <c r="D380" s="144">
        <v>58</v>
      </c>
      <c r="E380" s="144">
        <v>4.4000000000000004</v>
      </c>
      <c r="I380">
        <f t="shared" si="3"/>
        <v>0.17600000000000002</v>
      </c>
      <c r="K380" s="144" t="s">
        <v>234</v>
      </c>
      <c r="L380" s="144">
        <v>1</v>
      </c>
      <c r="M380" s="144">
        <v>25</v>
      </c>
      <c r="N380" s="144">
        <v>4</v>
      </c>
      <c r="P380" s="144">
        <v>1</v>
      </c>
      <c r="Q380" s="144"/>
      <c r="X380" s="144" t="s">
        <v>260</v>
      </c>
      <c r="Y380" s="144">
        <v>1</v>
      </c>
      <c r="Z380" s="144"/>
      <c r="AL380" s="144"/>
      <c r="AO380" s="144"/>
      <c r="AP380" s="144"/>
      <c r="AQ380" s="144"/>
      <c r="AS380" s="144"/>
      <c r="AT380" s="144"/>
      <c r="AU380" s="144"/>
      <c r="AW380" s="144"/>
      <c r="AX380" s="144"/>
      <c r="AY380" s="144"/>
    </row>
    <row r="381" spans="3:51">
      <c r="N381" s="144"/>
      <c r="AW381" s="144"/>
      <c r="AX381" s="144"/>
    </row>
    <row r="382" spans="3:51">
      <c r="C382">
        <v>373</v>
      </c>
      <c r="N382" s="144"/>
    </row>
    <row r="383" spans="3:51">
      <c r="C383">
        <v>374</v>
      </c>
      <c r="N383" s="144"/>
    </row>
    <row r="384" spans="3:51">
      <c r="C384">
        <v>375</v>
      </c>
      <c r="N384" s="144"/>
    </row>
    <row r="385" spans="3:14">
      <c r="C385">
        <v>376</v>
      </c>
      <c r="N385" s="144"/>
    </row>
    <row r="386" spans="3:14">
      <c r="C386">
        <v>377</v>
      </c>
      <c r="N386" s="144"/>
    </row>
    <row r="387" spans="3:14">
      <c r="C387">
        <v>378</v>
      </c>
      <c r="N387" s="144"/>
    </row>
    <row r="388" spans="3:14">
      <c r="C388">
        <v>379</v>
      </c>
      <c r="N388" s="144"/>
    </row>
    <row r="389" spans="3:14">
      <c r="C389">
        <v>380</v>
      </c>
      <c r="N389" s="144"/>
    </row>
    <row r="390" spans="3:14">
      <c r="C390">
        <v>381</v>
      </c>
      <c r="N390" s="144"/>
    </row>
    <row r="391" spans="3:14">
      <c r="C391">
        <v>382</v>
      </c>
    </row>
    <row r="392" spans="3:14">
      <c r="C392">
        <v>383</v>
      </c>
    </row>
    <row r="393" spans="3:14">
      <c r="C393">
        <v>384</v>
      </c>
    </row>
    <row r="394" spans="3:14">
      <c r="C394">
        <v>385</v>
      </c>
    </row>
    <row r="395" spans="3:14">
      <c r="C395">
        <v>386</v>
      </c>
    </row>
    <row r="396" spans="3:14">
      <c r="C396">
        <v>387</v>
      </c>
    </row>
    <row r="397" spans="3:14">
      <c r="C397">
        <v>388</v>
      </c>
    </row>
    <row r="398" spans="3:14">
      <c r="C398">
        <v>389</v>
      </c>
    </row>
    <row r="399" spans="3:14">
      <c r="C399">
        <v>390</v>
      </c>
    </row>
    <row r="400" spans="3:14">
      <c r="C400">
        <v>391</v>
      </c>
    </row>
    <row r="401" spans="3:3">
      <c r="C401">
        <v>392</v>
      </c>
    </row>
    <row r="402" spans="3:3">
      <c r="C402">
        <v>393</v>
      </c>
    </row>
    <row r="403" spans="3:3">
      <c r="C403">
        <v>394</v>
      </c>
    </row>
    <row r="404" spans="3:3">
      <c r="C404">
        <v>395</v>
      </c>
    </row>
    <row r="405" spans="3:3">
      <c r="C405">
        <v>396</v>
      </c>
    </row>
    <row r="406" spans="3:3">
      <c r="C406">
        <v>397</v>
      </c>
    </row>
    <row r="407" spans="3:3">
      <c r="C407">
        <v>398</v>
      </c>
    </row>
    <row r="408" spans="3:3">
      <c r="C408">
        <v>399</v>
      </c>
    </row>
    <row r="409" spans="3:3">
      <c r="C409">
        <v>400</v>
      </c>
    </row>
    <row r="410" spans="3:3">
      <c r="C410">
        <v>401</v>
      </c>
    </row>
    <row r="411" spans="3:3">
      <c r="C411">
        <v>402</v>
      </c>
    </row>
    <row r="412" spans="3:3">
      <c r="C412">
        <v>403</v>
      </c>
    </row>
    <row r="413" spans="3:3">
      <c r="C413">
        <v>404</v>
      </c>
    </row>
    <row r="414" spans="3:3">
      <c r="C414">
        <v>405</v>
      </c>
    </row>
    <row r="415" spans="3:3">
      <c r="C415">
        <v>406</v>
      </c>
    </row>
    <row r="416" spans="3:3">
      <c r="C416">
        <v>407</v>
      </c>
    </row>
    <row r="417" spans="3:3">
      <c r="C417">
        <v>408</v>
      </c>
    </row>
    <row r="418" spans="3:3">
      <c r="C418">
        <v>409</v>
      </c>
    </row>
    <row r="419" spans="3:3">
      <c r="C419">
        <v>410</v>
      </c>
    </row>
    <row r="420" spans="3:3">
      <c r="C420">
        <v>411</v>
      </c>
    </row>
    <row r="421" spans="3:3">
      <c r="C421">
        <v>412</v>
      </c>
    </row>
    <row r="422" spans="3:3">
      <c r="C422">
        <v>413</v>
      </c>
    </row>
    <row r="423" spans="3:3">
      <c r="C423">
        <v>414</v>
      </c>
    </row>
    <row r="424" spans="3:3">
      <c r="C424">
        <v>415</v>
      </c>
    </row>
    <row r="425" spans="3:3">
      <c r="C425">
        <v>416</v>
      </c>
    </row>
    <row r="426" spans="3:3">
      <c r="C426">
        <v>417</v>
      </c>
    </row>
    <row r="427" spans="3:3">
      <c r="C427">
        <v>418</v>
      </c>
    </row>
    <row r="428" spans="3:3">
      <c r="C428">
        <v>419</v>
      </c>
    </row>
    <row r="429" spans="3:3">
      <c r="C429">
        <v>420</v>
      </c>
    </row>
    <row r="430" spans="3:3">
      <c r="C430">
        <v>421</v>
      </c>
    </row>
    <row r="431" spans="3:3">
      <c r="C431">
        <v>422</v>
      </c>
    </row>
    <row r="432" spans="3:3">
      <c r="C432">
        <v>423</v>
      </c>
    </row>
    <row r="433" spans="3:3">
      <c r="C433">
        <v>424</v>
      </c>
    </row>
    <row r="434" spans="3:3">
      <c r="C434">
        <v>425</v>
      </c>
    </row>
    <row r="435" spans="3:3">
      <c r="C435">
        <v>426</v>
      </c>
    </row>
    <row r="436" spans="3:3">
      <c r="C436">
        <v>427</v>
      </c>
    </row>
    <row r="437" spans="3:3">
      <c r="C437">
        <v>428</v>
      </c>
    </row>
    <row r="438" spans="3:3">
      <c r="C438">
        <v>429</v>
      </c>
    </row>
    <row r="439" spans="3:3">
      <c r="C439">
        <v>430</v>
      </c>
    </row>
    <row r="440" spans="3:3">
      <c r="C440">
        <v>431</v>
      </c>
    </row>
    <row r="441" spans="3:3">
      <c r="C441">
        <v>432</v>
      </c>
    </row>
    <row r="442" spans="3:3">
      <c r="C442">
        <v>433</v>
      </c>
    </row>
    <row r="443" spans="3:3">
      <c r="C443">
        <v>434</v>
      </c>
    </row>
    <row r="444" spans="3:3">
      <c r="C444">
        <v>435</v>
      </c>
    </row>
    <row r="445" spans="3:3">
      <c r="C445">
        <v>436</v>
      </c>
    </row>
    <row r="446" spans="3:3">
      <c r="C446">
        <v>437</v>
      </c>
    </row>
    <row r="447" spans="3:3">
      <c r="C447">
        <v>438</v>
      </c>
    </row>
    <row r="448" spans="3:3">
      <c r="C448">
        <v>439</v>
      </c>
    </row>
    <row r="449" spans="3:3">
      <c r="C449">
        <v>440</v>
      </c>
    </row>
    <row r="450" spans="3:3">
      <c r="C450">
        <v>441</v>
      </c>
    </row>
    <row r="451" spans="3:3">
      <c r="C451">
        <v>442</v>
      </c>
    </row>
    <row r="452" spans="3:3">
      <c r="C452">
        <v>443</v>
      </c>
    </row>
    <row r="453" spans="3:3">
      <c r="C453">
        <v>444</v>
      </c>
    </row>
    <row r="454" spans="3:3">
      <c r="C454">
        <v>445</v>
      </c>
    </row>
    <row r="455" spans="3:3">
      <c r="C455">
        <v>446</v>
      </c>
    </row>
    <row r="456" spans="3:3">
      <c r="C456">
        <v>447</v>
      </c>
    </row>
    <row r="457" spans="3:3">
      <c r="C457">
        <v>448</v>
      </c>
    </row>
    <row r="458" spans="3:3">
      <c r="C458">
        <v>449</v>
      </c>
    </row>
    <row r="459" spans="3:3">
      <c r="C459">
        <v>450</v>
      </c>
    </row>
    <row r="460" spans="3:3">
      <c r="C460">
        <v>451</v>
      </c>
    </row>
    <row r="461" spans="3:3">
      <c r="C461">
        <v>452</v>
      </c>
    </row>
    <row r="462" spans="3:3">
      <c r="C462">
        <v>453</v>
      </c>
    </row>
    <row r="463" spans="3:3">
      <c r="C463">
        <v>454</v>
      </c>
    </row>
    <row r="464" spans="3:3">
      <c r="C464">
        <v>455</v>
      </c>
    </row>
    <row r="465" spans="3:3">
      <c r="C465">
        <v>456</v>
      </c>
    </row>
    <row r="466" spans="3:3">
      <c r="C466">
        <v>457</v>
      </c>
    </row>
    <row r="467" spans="3:3">
      <c r="C467">
        <v>458</v>
      </c>
    </row>
    <row r="468" spans="3:3">
      <c r="C468">
        <v>459</v>
      </c>
    </row>
    <row r="469" spans="3:3">
      <c r="C469">
        <v>460</v>
      </c>
    </row>
    <row r="470" spans="3:3">
      <c r="C470">
        <v>461</v>
      </c>
    </row>
    <row r="471" spans="3:3">
      <c r="C471">
        <v>462</v>
      </c>
    </row>
    <row r="472" spans="3:3">
      <c r="C472">
        <v>463</v>
      </c>
    </row>
    <row r="473" spans="3:3">
      <c r="C473">
        <v>464</v>
      </c>
    </row>
    <row r="474" spans="3:3">
      <c r="C474">
        <v>465</v>
      </c>
    </row>
    <row r="475" spans="3:3">
      <c r="C475">
        <v>466</v>
      </c>
    </row>
    <row r="476" spans="3:3">
      <c r="C476">
        <v>467</v>
      </c>
    </row>
    <row r="477" spans="3:3">
      <c r="C477">
        <v>468</v>
      </c>
    </row>
    <row r="478" spans="3:3">
      <c r="C478">
        <v>469</v>
      </c>
    </row>
    <row r="479" spans="3:3">
      <c r="C479">
        <v>470</v>
      </c>
    </row>
    <row r="480" spans="3:3">
      <c r="C480">
        <v>471</v>
      </c>
    </row>
    <row r="481" spans="3:3">
      <c r="C481">
        <v>472</v>
      </c>
    </row>
    <row r="482" spans="3:3">
      <c r="C482">
        <v>473</v>
      </c>
    </row>
    <row r="483" spans="3:3">
      <c r="C483">
        <v>474</v>
      </c>
    </row>
    <row r="484" spans="3:3">
      <c r="C484">
        <v>475</v>
      </c>
    </row>
    <row r="485" spans="3:3">
      <c r="C485">
        <v>476</v>
      </c>
    </row>
    <row r="486" spans="3:3">
      <c r="C486">
        <v>477</v>
      </c>
    </row>
    <row r="487" spans="3:3">
      <c r="C487">
        <v>478</v>
      </c>
    </row>
    <row r="488" spans="3:3">
      <c r="C488">
        <v>479</v>
      </c>
    </row>
    <row r="489" spans="3:3">
      <c r="C489">
        <v>480</v>
      </c>
    </row>
    <row r="490" spans="3:3">
      <c r="C490">
        <v>481</v>
      </c>
    </row>
    <row r="491" spans="3:3">
      <c r="C491">
        <v>482</v>
      </c>
    </row>
    <row r="492" spans="3:3">
      <c r="C492">
        <v>483</v>
      </c>
    </row>
    <row r="493" spans="3:3">
      <c r="C493">
        <v>484</v>
      </c>
    </row>
    <row r="494" spans="3:3">
      <c r="C494">
        <v>485</v>
      </c>
    </row>
    <row r="495" spans="3:3">
      <c r="C495">
        <v>486</v>
      </c>
    </row>
    <row r="496" spans="3:3">
      <c r="C496">
        <v>487</v>
      </c>
    </row>
    <row r="497" spans="3:3">
      <c r="C497">
        <v>488</v>
      </c>
    </row>
    <row r="498" spans="3:3">
      <c r="C498">
        <v>489</v>
      </c>
    </row>
    <row r="499" spans="3:3">
      <c r="C499">
        <v>490</v>
      </c>
    </row>
    <row r="500" spans="3:3">
      <c r="C500">
        <v>491</v>
      </c>
    </row>
    <row r="501" spans="3:3">
      <c r="C501">
        <v>492</v>
      </c>
    </row>
    <row r="502" spans="3:3">
      <c r="C502">
        <v>493</v>
      </c>
    </row>
    <row r="503" spans="3:3">
      <c r="C503">
        <v>494</v>
      </c>
    </row>
    <row r="504" spans="3:3">
      <c r="C504">
        <v>495</v>
      </c>
    </row>
    <row r="505" spans="3:3">
      <c r="C505">
        <v>496</v>
      </c>
    </row>
    <row r="506" spans="3:3">
      <c r="C506">
        <v>497</v>
      </c>
    </row>
    <row r="507" spans="3:3">
      <c r="C507">
        <v>498</v>
      </c>
    </row>
    <row r="508" spans="3:3">
      <c r="C508">
        <v>499</v>
      </c>
    </row>
    <row r="509" spans="3:3">
      <c r="C509">
        <v>500</v>
      </c>
    </row>
    <row r="510" spans="3:3">
      <c r="C510">
        <v>501</v>
      </c>
    </row>
    <row r="511" spans="3:3">
      <c r="C511">
        <v>502</v>
      </c>
    </row>
    <row r="512" spans="3:3">
      <c r="C512">
        <v>503</v>
      </c>
    </row>
    <row r="513" spans="3:3">
      <c r="C513">
        <v>504</v>
      </c>
    </row>
    <row r="514" spans="3:3">
      <c r="C514">
        <v>505</v>
      </c>
    </row>
    <row r="515" spans="3:3">
      <c r="C515">
        <v>506</v>
      </c>
    </row>
    <row r="516" spans="3:3">
      <c r="C516">
        <v>507</v>
      </c>
    </row>
    <row r="517" spans="3:3">
      <c r="C517">
        <v>508</v>
      </c>
    </row>
    <row r="518" spans="3:3">
      <c r="C518">
        <v>509</v>
      </c>
    </row>
    <row r="519" spans="3:3">
      <c r="C519">
        <v>510</v>
      </c>
    </row>
    <row r="520" spans="3:3">
      <c r="C520">
        <v>511</v>
      </c>
    </row>
    <row r="521" spans="3:3">
      <c r="C521">
        <v>512</v>
      </c>
    </row>
    <row r="522" spans="3:3">
      <c r="C522">
        <v>513</v>
      </c>
    </row>
    <row r="523" spans="3:3">
      <c r="C523">
        <v>514</v>
      </c>
    </row>
    <row r="524" spans="3:3">
      <c r="C524">
        <v>515</v>
      </c>
    </row>
    <row r="525" spans="3:3">
      <c r="C525">
        <v>516</v>
      </c>
    </row>
    <row r="526" spans="3:3">
      <c r="C526">
        <v>517</v>
      </c>
    </row>
    <row r="527" spans="3:3">
      <c r="C527">
        <v>518</v>
      </c>
    </row>
    <row r="528" spans="3:3">
      <c r="C528">
        <v>519</v>
      </c>
    </row>
    <row r="529" spans="3:3">
      <c r="C529">
        <v>520</v>
      </c>
    </row>
    <row r="530" spans="3:3">
      <c r="C530">
        <v>521</v>
      </c>
    </row>
    <row r="531" spans="3:3">
      <c r="C531">
        <v>522</v>
      </c>
    </row>
    <row r="532" spans="3:3">
      <c r="C532">
        <v>523</v>
      </c>
    </row>
    <row r="533" spans="3:3">
      <c r="C533">
        <v>524</v>
      </c>
    </row>
    <row r="534" spans="3:3">
      <c r="C534">
        <v>525</v>
      </c>
    </row>
    <row r="535" spans="3:3">
      <c r="C535">
        <v>526</v>
      </c>
    </row>
    <row r="536" spans="3:3">
      <c r="C536">
        <v>527</v>
      </c>
    </row>
    <row r="537" spans="3:3">
      <c r="C537">
        <v>528</v>
      </c>
    </row>
    <row r="538" spans="3:3">
      <c r="C538">
        <v>529</v>
      </c>
    </row>
    <row r="539" spans="3:3">
      <c r="C539">
        <v>530</v>
      </c>
    </row>
    <row r="540" spans="3:3">
      <c r="C540">
        <v>531</v>
      </c>
    </row>
    <row r="541" spans="3:3">
      <c r="C541">
        <v>532</v>
      </c>
    </row>
    <row r="542" spans="3:3">
      <c r="C542">
        <v>533</v>
      </c>
    </row>
    <row r="543" spans="3:3">
      <c r="C543">
        <v>534</v>
      </c>
    </row>
    <row r="544" spans="3:3">
      <c r="C544">
        <v>535</v>
      </c>
    </row>
    <row r="545" spans="3:3">
      <c r="C545">
        <v>536</v>
      </c>
    </row>
    <row r="546" spans="3:3">
      <c r="C546">
        <v>537</v>
      </c>
    </row>
    <row r="547" spans="3:3">
      <c r="C547">
        <v>538</v>
      </c>
    </row>
    <row r="548" spans="3:3">
      <c r="C548">
        <v>539</v>
      </c>
    </row>
    <row r="549" spans="3:3">
      <c r="C549">
        <v>540</v>
      </c>
    </row>
    <row r="550" spans="3:3">
      <c r="C550">
        <v>541</v>
      </c>
    </row>
    <row r="551" spans="3:3">
      <c r="C551">
        <v>542</v>
      </c>
    </row>
    <row r="552" spans="3:3">
      <c r="C552">
        <v>543</v>
      </c>
    </row>
    <row r="553" spans="3:3">
      <c r="C553">
        <v>544</v>
      </c>
    </row>
    <row r="554" spans="3:3">
      <c r="C554">
        <v>545</v>
      </c>
    </row>
    <row r="555" spans="3:3">
      <c r="C555">
        <v>546</v>
      </c>
    </row>
    <row r="556" spans="3:3">
      <c r="C556">
        <v>547</v>
      </c>
    </row>
    <row r="557" spans="3:3">
      <c r="C557">
        <v>548</v>
      </c>
    </row>
    <row r="558" spans="3:3">
      <c r="C558">
        <v>549</v>
      </c>
    </row>
    <row r="559" spans="3:3">
      <c r="C559">
        <v>550</v>
      </c>
    </row>
    <row r="560" spans="3:3">
      <c r="C560">
        <v>551</v>
      </c>
    </row>
    <row r="561" spans="3:3">
      <c r="C561">
        <v>552</v>
      </c>
    </row>
    <row r="562" spans="3:3">
      <c r="C562">
        <v>553</v>
      </c>
    </row>
    <row r="563" spans="3:3">
      <c r="C563">
        <v>554</v>
      </c>
    </row>
    <row r="564" spans="3:3">
      <c r="C564">
        <v>555</v>
      </c>
    </row>
    <row r="565" spans="3:3">
      <c r="C565">
        <v>556</v>
      </c>
    </row>
    <row r="566" spans="3:3">
      <c r="C566">
        <v>557</v>
      </c>
    </row>
    <row r="567" spans="3:3">
      <c r="C567">
        <v>558</v>
      </c>
    </row>
    <row r="568" spans="3:3">
      <c r="C568">
        <v>559</v>
      </c>
    </row>
    <row r="569" spans="3:3">
      <c r="C569">
        <v>560</v>
      </c>
    </row>
    <row r="570" spans="3:3">
      <c r="C570">
        <v>561</v>
      </c>
    </row>
    <row r="571" spans="3:3">
      <c r="C571">
        <v>562</v>
      </c>
    </row>
    <row r="572" spans="3:3">
      <c r="C572">
        <v>563</v>
      </c>
    </row>
    <row r="573" spans="3:3">
      <c r="C573">
        <v>564</v>
      </c>
    </row>
    <row r="574" spans="3:3">
      <c r="C574">
        <v>565</v>
      </c>
    </row>
    <row r="575" spans="3:3">
      <c r="C575">
        <v>566</v>
      </c>
    </row>
    <row r="576" spans="3:3">
      <c r="C576">
        <v>567</v>
      </c>
    </row>
    <row r="577" spans="3:3">
      <c r="C577">
        <v>568</v>
      </c>
    </row>
    <row r="578" spans="3:3">
      <c r="C578">
        <v>569</v>
      </c>
    </row>
    <row r="579" spans="3:3">
      <c r="C579">
        <v>570</v>
      </c>
    </row>
    <row r="580" spans="3:3">
      <c r="C580">
        <v>571</v>
      </c>
    </row>
    <row r="581" spans="3:3">
      <c r="C581">
        <v>572</v>
      </c>
    </row>
    <row r="582" spans="3:3">
      <c r="C582">
        <v>573</v>
      </c>
    </row>
    <row r="583" spans="3:3">
      <c r="C583">
        <v>574</v>
      </c>
    </row>
    <row r="584" spans="3:3">
      <c r="C584">
        <v>575</v>
      </c>
    </row>
    <row r="585" spans="3:3">
      <c r="C585">
        <v>576</v>
      </c>
    </row>
    <row r="586" spans="3:3">
      <c r="C586">
        <v>577</v>
      </c>
    </row>
    <row r="587" spans="3:3">
      <c r="C587">
        <v>578</v>
      </c>
    </row>
    <row r="588" spans="3:3">
      <c r="C588">
        <v>579</v>
      </c>
    </row>
    <row r="589" spans="3:3">
      <c r="C589">
        <v>580</v>
      </c>
    </row>
    <row r="590" spans="3:3">
      <c r="C590">
        <v>581</v>
      </c>
    </row>
    <row r="591" spans="3:3">
      <c r="C591">
        <v>582</v>
      </c>
    </row>
    <row r="592" spans="3:3">
      <c r="C592">
        <v>583</v>
      </c>
    </row>
    <row r="593" spans="3:3">
      <c r="C593">
        <v>584</v>
      </c>
    </row>
    <row r="594" spans="3:3">
      <c r="C594">
        <v>585</v>
      </c>
    </row>
    <row r="595" spans="3:3">
      <c r="C595">
        <v>586</v>
      </c>
    </row>
    <row r="596" spans="3:3">
      <c r="C596">
        <v>587</v>
      </c>
    </row>
    <row r="597" spans="3:3">
      <c r="C597">
        <v>588</v>
      </c>
    </row>
    <row r="598" spans="3:3">
      <c r="C598">
        <v>589</v>
      </c>
    </row>
    <row r="599" spans="3:3">
      <c r="C599">
        <v>590</v>
      </c>
    </row>
    <row r="600" spans="3:3">
      <c r="C600">
        <v>591</v>
      </c>
    </row>
    <row r="601" spans="3:3">
      <c r="C601">
        <v>592</v>
      </c>
    </row>
    <row r="602" spans="3:3">
      <c r="C602">
        <v>593</v>
      </c>
    </row>
    <row r="603" spans="3:3">
      <c r="C603">
        <v>594</v>
      </c>
    </row>
    <row r="604" spans="3:3">
      <c r="C604">
        <v>595</v>
      </c>
    </row>
    <row r="605" spans="3:3">
      <c r="C605">
        <v>596</v>
      </c>
    </row>
    <row r="606" spans="3:3">
      <c r="C606">
        <v>597</v>
      </c>
    </row>
    <row r="607" spans="3:3">
      <c r="C607">
        <v>598</v>
      </c>
    </row>
    <row r="608" spans="3:3">
      <c r="C608">
        <v>599</v>
      </c>
    </row>
    <row r="609" spans="3:3">
      <c r="C609">
        <v>600</v>
      </c>
    </row>
    <row r="610" spans="3:3">
      <c r="C610">
        <v>601</v>
      </c>
    </row>
    <row r="611" spans="3:3">
      <c r="C611">
        <v>602</v>
      </c>
    </row>
    <row r="612" spans="3:3">
      <c r="C612">
        <v>603</v>
      </c>
    </row>
    <row r="613" spans="3:3">
      <c r="C613">
        <v>604</v>
      </c>
    </row>
    <row r="614" spans="3:3">
      <c r="C614">
        <v>605</v>
      </c>
    </row>
    <row r="615" spans="3:3">
      <c r="C615">
        <v>606</v>
      </c>
    </row>
    <row r="616" spans="3:3">
      <c r="C616">
        <v>607</v>
      </c>
    </row>
    <row r="617" spans="3:3">
      <c r="C617">
        <v>608</v>
      </c>
    </row>
    <row r="618" spans="3:3">
      <c r="C618">
        <v>609</v>
      </c>
    </row>
    <row r="619" spans="3:3">
      <c r="C619">
        <v>610</v>
      </c>
    </row>
    <row r="620" spans="3:3">
      <c r="C620">
        <v>611</v>
      </c>
    </row>
    <row r="621" spans="3:3">
      <c r="C621">
        <v>612</v>
      </c>
    </row>
    <row r="622" spans="3:3">
      <c r="C622">
        <v>613</v>
      </c>
    </row>
    <row r="623" spans="3:3">
      <c r="C623">
        <v>614</v>
      </c>
    </row>
    <row r="624" spans="3:3">
      <c r="C624">
        <v>615</v>
      </c>
    </row>
    <row r="625" spans="3:3">
      <c r="C625">
        <v>616</v>
      </c>
    </row>
    <row r="626" spans="3:3">
      <c r="C626">
        <v>617</v>
      </c>
    </row>
    <row r="627" spans="3:3">
      <c r="C627">
        <v>618</v>
      </c>
    </row>
    <row r="628" spans="3:3">
      <c r="C628">
        <v>619</v>
      </c>
    </row>
    <row r="629" spans="3:3">
      <c r="C629">
        <v>620</v>
      </c>
    </row>
    <row r="630" spans="3:3">
      <c r="C630">
        <v>621</v>
      </c>
    </row>
    <row r="631" spans="3:3">
      <c r="C631">
        <v>622</v>
      </c>
    </row>
    <row r="632" spans="3:3">
      <c r="C632">
        <v>623</v>
      </c>
    </row>
    <row r="633" spans="3:3">
      <c r="C633">
        <v>624</v>
      </c>
    </row>
    <row r="634" spans="3:3">
      <c r="C634">
        <v>625</v>
      </c>
    </row>
    <row r="635" spans="3:3">
      <c r="C635">
        <v>626</v>
      </c>
    </row>
    <row r="636" spans="3:3">
      <c r="C636">
        <v>627</v>
      </c>
    </row>
    <row r="637" spans="3:3">
      <c r="C637">
        <v>628</v>
      </c>
    </row>
    <row r="638" spans="3:3">
      <c r="C638">
        <v>629</v>
      </c>
    </row>
    <row r="639" spans="3:3">
      <c r="C639">
        <v>630</v>
      </c>
    </row>
    <row r="640" spans="3:3">
      <c r="C640">
        <v>631</v>
      </c>
    </row>
    <row r="641" spans="3:3">
      <c r="C641">
        <v>632</v>
      </c>
    </row>
    <row r="642" spans="3:3">
      <c r="C642">
        <v>633</v>
      </c>
    </row>
    <row r="643" spans="3:3">
      <c r="C643">
        <v>634</v>
      </c>
    </row>
    <row r="644" spans="3:3">
      <c r="C644">
        <v>635</v>
      </c>
    </row>
    <row r="645" spans="3:3">
      <c r="C645">
        <v>636</v>
      </c>
    </row>
    <row r="646" spans="3:3">
      <c r="C646">
        <v>637</v>
      </c>
    </row>
    <row r="647" spans="3:3">
      <c r="C647">
        <v>638</v>
      </c>
    </row>
    <row r="648" spans="3:3">
      <c r="C648">
        <v>639</v>
      </c>
    </row>
    <row r="649" spans="3:3">
      <c r="C649">
        <v>640</v>
      </c>
    </row>
    <row r="650" spans="3:3">
      <c r="C650">
        <v>641</v>
      </c>
    </row>
    <row r="651" spans="3:3">
      <c r="C651">
        <v>642</v>
      </c>
    </row>
    <row r="652" spans="3:3">
      <c r="C652">
        <v>643</v>
      </c>
    </row>
    <row r="653" spans="3:3">
      <c r="C653">
        <v>644</v>
      </c>
    </row>
    <row r="654" spans="3:3">
      <c r="C654">
        <v>645</v>
      </c>
    </row>
    <row r="655" spans="3:3">
      <c r="C655">
        <v>646</v>
      </c>
    </row>
    <row r="656" spans="3:3">
      <c r="C656">
        <v>647</v>
      </c>
    </row>
    <row r="657" spans="3:3">
      <c r="C657">
        <v>648</v>
      </c>
    </row>
    <row r="658" spans="3:3">
      <c r="C658">
        <v>649</v>
      </c>
    </row>
    <row r="659" spans="3:3">
      <c r="C659">
        <v>650</v>
      </c>
    </row>
    <row r="660" spans="3:3">
      <c r="C660">
        <v>651</v>
      </c>
    </row>
    <row r="661" spans="3:3">
      <c r="C661">
        <v>652</v>
      </c>
    </row>
    <row r="662" spans="3:3">
      <c r="C662">
        <v>653</v>
      </c>
    </row>
    <row r="663" spans="3:3">
      <c r="C663">
        <v>654</v>
      </c>
    </row>
    <row r="664" spans="3:3">
      <c r="C664">
        <v>655</v>
      </c>
    </row>
    <row r="665" spans="3:3">
      <c r="C665">
        <v>656</v>
      </c>
    </row>
    <row r="666" spans="3:3">
      <c r="C666">
        <v>657</v>
      </c>
    </row>
    <row r="667" spans="3:3">
      <c r="C667">
        <v>658</v>
      </c>
    </row>
    <row r="668" spans="3:3">
      <c r="C668">
        <v>659</v>
      </c>
    </row>
    <row r="669" spans="3:3">
      <c r="C669">
        <v>660</v>
      </c>
    </row>
    <row r="670" spans="3:3">
      <c r="C670">
        <v>661</v>
      </c>
    </row>
    <row r="671" spans="3:3">
      <c r="C671">
        <v>662</v>
      </c>
    </row>
    <row r="672" spans="3:3">
      <c r="C672">
        <v>663</v>
      </c>
    </row>
    <row r="673" spans="3:3">
      <c r="C673">
        <v>664</v>
      </c>
    </row>
    <row r="674" spans="3:3">
      <c r="C674">
        <v>665</v>
      </c>
    </row>
    <row r="675" spans="3:3">
      <c r="C675">
        <v>666</v>
      </c>
    </row>
    <row r="676" spans="3:3">
      <c r="C676">
        <v>667</v>
      </c>
    </row>
    <row r="677" spans="3:3">
      <c r="C677">
        <v>668</v>
      </c>
    </row>
    <row r="678" spans="3:3">
      <c r="C678">
        <v>669</v>
      </c>
    </row>
    <row r="679" spans="3:3">
      <c r="C679">
        <v>670</v>
      </c>
    </row>
    <row r="680" spans="3:3">
      <c r="C680">
        <v>671</v>
      </c>
    </row>
    <row r="681" spans="3:3">
      <c r="C681">
        <v>672</v>
      </c>
    </row>
    <row r="682" spans="3:3">
      <c r="C682">
        <v>673</v>
      </c>
    </row>
    <row r="683" spans="3:3">
      <c r="C683">
        <v>674</v>
      </c>
    </row>
    <row r="684" spans="3:3">
      <c r="C684">
        <v>675</v>
      </c>
    </row>
    <row r="685" spans="3:3">
      <c r="C685">
        <v>676</v>
      </c>
    </row>
    <row r="686" spans="3:3">
      <c r="C686">
        <v>677</v>
      </c>
    </row>
    <row r="687" spans="3:3">
      <c r="C687">
        <v>678</v>
      </c>
    </row>
    <row r="688" spans="3:3">
      <c r="C688">
        <v>679</v>
      </c>
    </row>
    <row r="689" spans="3:3">
      <c r="C689">
        <v>680</v>
      </c>
    </row>
    <row r="690" spans="3:3">
      <c r="C690">
        <v>681</v>
      </c>
    </row>
    <row r="691" spans="3:3">
      <c r="C691">
        <v>682</v>
      </c>
    </row>
    <row r="692" spans="3:3">
      <c r="C692">
        <v>683</v>
      </c>
    </row>
    <row r="693" spans="3:3">
      <c r="C693">
        <v>684</v>
      </c>
    </row>
    <row r="694" spans="3:3">
      <c r="C694">
        <v>685</v>
      </c>
    </row>
    <row r="695" spans="3:3">
      <c r="C695">
        <v>686</v>
      </c>
    </row>
    <row r="696" spans="3:3">
      <c r="C696">
        <v>687</v>
      </c>
    </row>
    <row r="697" spans="3:3">
      <c r="C697">
        <v>688</v>
      </c>
    </row>
    <row r="698" spans="3:3">
      <c r="C698">
        <v>689</v>
      </c>
    </row>
    <row r="699" spans="3:3">
      <c r="C699">
        <v>690</v>
      </c>
    </row>
    <row r="700" spans="3:3">
      <c r="C700">
        <v>691</v>
      </c>
    </row>
    <row r="701" spans="3:3">
      <c r="C701">
        <v>692</v>
      </c>
    </row>
    <row r="702" spans="3:3">
      <c r="C702">
        <v>693</v>
      </c>
    </row>
    <row r="703" spans="3:3">
      <c r="C703">
        <v>694</v>
      </c>
    </row>
    <row r="704" spans="3:3">
      <c r="C704">
        <v>695</v>
      </c>
    </row>
    <row r="705" spans="3:3">
      <c r="C705">
        <v>696</v>
      </c>
    </row>
    <row r="706" spans="3:3">
      <c r="C706">
        <v>697</v>
      </c>
    </row>
    <row r="707" spans="3:3">
      <c r="C707">
        <v>698</v>
      </c>
    </row>
    <row r="708" spans="3:3">
      <c r="C708">
        <v>699</v>
      </c>
    </row>
    <row r="709" spans="3:3">
      <c r="C709">
        <v>700</v>
      </c>
    </row>
    <row r="710" spans="3:3">
      <c r="C710">
        <v>701</v>
      </c>
    </row>
    <row r="711" spans="3:3">
      <c r="C711">
        <v>702</v>
      </c>
    </row>
    <row r="712" spans="3:3">
      <c r="C712">
        <v>703</v>
      </c>
    </row>
    <row r="713" spans="3:3">
      <c r="C713">
        <v>704</v>
      </c>
    </row>
    <row r="714" spans="3:3">
      <c r="C714">
        <v>705</v>
      </c>
    </row>
    <row r="715" spans="3:3">
      <c r="C715">
        <v>706</v>
      </c>
    </row>
    <row r="716" spans="3:3">
      <c r="C716">
        <v>707</v>
      </c>
    </row>
    <row r="717" spans="3:3">
      <c r="C717">
        <v>708</v>
      </c>
    </row>
    <row r="718" spans="3:3">
      <c r="C718">
        <v>709</v>
      </c>
    </row>
    <row r="719" spans="3:3">
      <c r="C719">
        <v>650</v>
      </c>
    </row>
    <row r="720" spans="3:3">
      <c r="C720">
        <v>651</v>
      </c>
    </row>
    <row r="721" spans="3:3">
      <c r="C721">
        <v>652</v>
      </c>
    </row>
    <row r="722" spans="3:3">
      <c r="C722">
        <v>653</v>
      </c>
    </row>
    <row r="723" spans="3:3">
      <c r="C723">
        <v>654</v>
      </c>
    </row>
    <row r="724" spans="3:3">
      <c r="C724">
        <v>655</v>
      </c>
    </row>
    <row r="725" spans="3:3">
      <c r="C725">
        <v>656</v>
      </c>
    </row>
    <row r="726" spans="3:3">
      <c r="C726">
        <v>657</v>
      </c>
    </row>
    <row r="727" spans="3:3">
      <c r="C727">
        <v>658</v>
      </c>
    </row>
    <row r="728" spans="3:3">
      <c r="C728">
        <v>659</v>
      </c>
    </row>
    <row r="729" spans="3:3">
      <c r="C729">
        <v>660</v>
      </c>
    </row>
    <row r="730" spans="3:3">
      <c r="C730">
        <v>661</v>
      </c>
    </row>
    <row r="731" spans="3:3">
      <c r="C731">
        <v>662</v>
      </c>
    </row>
    <row r="732" spans="3:3">
      <c r="C732">
        <v>663</v>
      </c>
    </row>
    <row r="733" spans="3:3">
      <c r="C733">
        <v>664</v>
      </c>
    </row>
    <row r="734" spans="3:3">
      <c r="C734">
        <v>665</v>
      </c>
    </row>
    <row r="735" spans="3:3">
      <c r="C735">
        <v>666</v>
      </c>
    </row>
    <row r="736" spans="3:3">
      <c r="C736">
        <v>667</v>
      </c>
    </row>
    <row r="737" spans="3:3">
      <c r="C737">
        <v>668</v>
      </c>
    </row>
    <row r="738" spans="3:3">
      <c r="C738">
        <v>669</v>
      </c>
    </row>
    <row r="739" spans="3:3">
      <c r="C739">
        <v>670</v>
      </c>
    </row>
    <row r="740" spans="3:3">
      <c r="C740">
        <v>671</v>
      </c>
    </row>
    <row r="741" spans="3:3">
      <c r="C741">
        <v>672</v>
      </c>
    </row>
    <row r="742" spans="3:3">
      <c r="C742">
        <v>673</v>
      </c>
    </row>
    <row r="743" spans="3:3">
      <c r="C743">
        <v>674</v>
      </c>
    </row>
    <row r="744" spans="3:3">
      <c r="C744">
        <v>675</v>
      </c>
    </row>
    <row r="745" spans="3:3">
      <c r="C745">
        <v>676</v>
      </c>
    </row>
    <row r="746" spans="3:3">
      <c r="C746">
        <v>677</v>
      </c>
    </row>
    <row r="747" spans="3:3">
      <c r="C747">
        <v>678</v>
      </c>
    </row>
    <row r="748" spans="3:3">
      <c r="C748">
        <v>679</v>
      </c>
    </row>
    <row r="749" spans="3:3">
      <c r="C749">
        <v>680</v>
      </c>
    </row>
    <row r="750" spans="3:3">
      <c r="C750">
        <v>681</v>
      </c>
    </row>
    <row r="751" spans="3:3">
      <c r="C751">
        <v>682</v>
      </c>
    </row>
    <row r="752" spans="3:3">
      <c r="C752">
        <v>683</v>
      </c>
    </row>
    <row r="753" spans="3:3">
      <c r="C753">
        <v>684</v>
      </c>
    </row>
    <row r="754" spans="3:3">
      <c r="C754">
        <v>685</v>
      </c>
    </row>
    <row r="755" spans="3:3">
      <c r="C755">
        <v>686</v>
      </c>
    </row>
    <row r="756" spans="3:3">
      <c r="C756">
        <v>687</v>
      </c>
    </row>
    <row r="757" spans="3:3">
      <c r="C757">
        <v>688</v>
      </c>
    </row>
    <row r="758" spans="3:3">
      <c r="C758">
        <v>689</v>
      </c>
    </row>
    <row r="759" spans="3:3">
      <c r="C759">
        <v>690</v>
      </c>
    </row>
    <row r="760" spans="3:3">
      <c r="C760">
        <v>691</v>
      </c>
    </row>
    <row r="761" spans="3:3">
      <c r="C761">
        <v>692</v>
      </c>
    </row>
    <row r="762" spans="3:3">
      <c r="C762">
        <v>693</v>
      </c>
    </row>
    <row r="763" spans="3:3">
      <c r="C763">
        <v>694</v>
      </c>
    </row>
    <row r="764" spans="3:3">
      <c r="C764">
        <v>695</v>
      </c>
    </row>
    <row r="765" spans="3:3">
      <c r="C765">
        <v>696</v>
      </c>
    </row>
    <row r="766" spans="3:3">
      <c r="C766">
        <v>697</v>
      </c>
    </row>
    <row r="767" spans="3:3">
      <c r="C767">
        <v>698</v>
      </c>
    </row>
    <row r="768" spans="3:3">
      <c r="C768">
        <v>699</v>
      </c>
    </row>
    <row r="769" spans="3:3">
      <c r="C769">
        <v>700</v>
      </c>
    </row>
    <row r="770" spans="3:3">
      <c r="C770">
        <v>701</v>
      </c>
    </row>
    <row r="771" spans="3:3">
      <c r="C771">
        <v>702</v>
      </c>
    </row>
    <row r="772" spans="3:3">
      <c r="C772">
        <v>703</v>
      </c>
    </row>
    <row r="773" spans="3:3">
      <c r="C773">
        <v>704</v>
      </c>
    </row>
    <row r="774" spans="3:3">
      <c r="C774">
        <v>705</v>
      </c>
    </row>
    <row r="775" spans="3:3">
      <c r="C775">
        <v>706</v>
      </c>
    </row>
    <row r="776" spans="3:3">
      <c r="C776">
        <v>707</v>
      </c>
    </row>
    <row r="777" spans="3:3">
      <c r="C777">
        <v>708</v>
      </c>
    </row>
    <row r="778" spans="3:3">
      <c r="C778">
        <v>709</v>
      </c>
    </row>
  </sheetData>
  <conditionalFormatting sqref="D209">
    <cfRule type="duplicateValues" dxfId="3" priority="3"/>
    <cfRule type="duplicateValues" dxfId="2" priority="4"/>
  </conditionalFormatting>
  <conditionalFormatting sqref="E209:G209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sadasd dasdasd</cp:lastModifiedBy>
  <dcterms:created xsi:type="dcterms:W3CDTF">2015-06-05T18:19:34Z</dcterms:created>
  <dcterms:modified xsi:type="dcterms:W3CDTF">2025-11-19T09:18:24Z</dcterms:modified>
</cp:coreProperties>
</file>